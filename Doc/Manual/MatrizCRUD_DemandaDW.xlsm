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ugo\DirProject\DemandaBI\Doc\Analisis\"/>
    </mc:Choice>
  </mc:AlternateContent>
  <bookViews>
    <workbookView xWindow="-105" yWindow="-105" windowWidth="23250" windowHeight="12570" tabRatio="591"/>
  </bookViews>
  <sheets>
    <sheet name="Configuraciones" sheetId="123" r:id="rId1"/>
    <sheet name="Plantilla" sheetId="128" r:id="rId2"/>
    <sheet name="Logines" sheetId="136" r:id="rId3"/>
    <sheet name="UsuariosRoles" sheetId="137" r:id="rId4"/>
    <sheet name="Cubos_App" sheetId="138" r:id="rId5"/>
    <sheet name="CRUD_DemandaDW" sheetId="141" r:id="rId6"/>
  </sheets>
  <functionGroups builtInGroupCount="18"/>
  <externalReferences>
    <externalReference r:id="rId7"/>
  </externalReferences>
  <definedNames>
    <definedName name="SI_NO" localSheetId="4">[1]Configuraciones!$E$8:$E$9</definedName>
    <definedName name="SI_NO">Configuraciones!$E$10:$E$11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3" i="141" l="1"/>
  <c r="D202" i="141"/>
  <c r="D201" i="141"/>
  <c r="D200" i="141"/>
  <c r="D199" i="141"/>
  <c r="D198" i="141"/>
  <c r="D197" i="141"/>
  <c r="D195" i="141"/>
  <c r="D194" i="141"/>
  <c r="D192" i="141"/>
  <c r="D191" i="141"/>
  <c r="D189" i="141"/>
  <c r="D188" i="141"/>
  <c r="D186" i="141"/>
  <c r="D185" i="141"/>
  <c r="D183" i="141"/>
  <c r="D182" i="141"/>
  <c r="D181" i="141"/>
  <c r="D180" i="141"/>
  <c r="D179" i="141"/>
  <c r="D178" i="141"/>
  <c r="D177" i="141"/>
  <c r="D176" i="141"/>
  <c r="D175" i="141"/>
  <c r="D174" i="141"/>
  <c r="D173" i="141"/>
  <c r="D172" i="141"/>
  <c r="D171" i="141"/>
  <c r="D170" i="141"/>
  <c r="D169" i="141"/>
  <c r="D168" i="141"/>
  <c r="D167" i="141"/>
  <c r="D166" i="141"/>
  <c r="D165" i="141"/>
  <c r="D164" i="141"/>
  <c r="D163" i="141"/>
  <c r="D161" i="141"/>
  <c r="D160" i="141"/>
  <c r="D159" i="141"/>
  <c r="D158" i="141"/>
  <c r="D157" i="141"/>
  <c r="D156" i="141"/>
  <c r="D155" i="141"/>
  <c r="D154" i="141"/>
  <c r="D153" i="141"/>
  <c r="D152" i="141"/>
  <c r="D151" i="141"/>
  <c r="D150" i="141"/>
  <c r="D149" i="141"/>
  <c r="D148" i="141"/>
  <c r="D147" i="141"/>
  <c r="D146" i="141"/>
  <c r="D145" i="141"/>
  <c r="D144" i="141"/>
  <c r="D143" i="141"/>
  <c r="D142" i="141"/>
  <c r="D141" i="141"/>
  <c r="D140" i="141"/>
  <c r="D139" i="141"/>
  <c r="D138" i="141"/>
  <c r="D137" i="141"/>
  <c r="D136" i="141"/>
  <c r="D135" i="141"/>
  <c r="D134" i="141"/>
  <c r="D133" i="141"/>
  <c r="D132" i="141"/>
  <c r="D131" i="141"/>
  <c r="D130" i="141"/>
  <c r="D129" i="141"/>
  <c r="D128" i="141"/>
  <c r="D127" i="141"/>
  <c r="D126" i="141"/>
  <c r="D125" i="141"/>
  <c r="D124" i="141"/>
  <c r="D123" i="141"/>
  <c r="D122" i="141"/>
  <c r="D121" i="141"/>
  <c r="D120" i="141"/>
  <c r="D118" i="141"/>
  <c r="D117" i="141"/>
  <c r="D116" i="141"/>
  <c r="D115" i="141"/>
  <c r="D114" i="141"/>
  <c r="D113" i="141"/>
  <c r="D112" i="141"/>
  <c r="D111" i="141"/>
  <c r="D110" i="141"/>
  <c r="D109" i="141"/>
  <c r="D108" i="141"/>
  <c r="D107" i="141"/>
  <c r="D106" i="141"/>
  <c r="D105" i="141"/>
  <c r="D104" i="141"/>
  <c r="D103" i="141"/>
  <c r="D102" i="141"/>
  <c r="D101" i="141"/>
  <c r="D100" i="141"/>
  <c r="D99" i="141"/>
  <c r="D98" i="141"/>
  <c r="D97" i="141"/>
  <c r="D96" i="141"/>
  <c r="D95" i="141"/>
  <c r="D94" i="141"/>
  <c r="D93" i="141"/>
  <c r="D92" i="141"/>
  <c r="D91" i="141"/>
  <c r="D90" i="141"/>
  <c r="D89" i="141"/>
  <c r="D88" i="141"/>
  <c r="D87" i="141"/>
  <c r="D86" i="141"/>
  <c r="D85" i="141"/>
  <c r="D84" i="141"/>
  <c r="D83" i="141"/>
  <c r="D82" i="141"/>
  <c r="D81" i="141"/>
  <c r="D80" i="141"/>
  <c r="D79" i="141"/>
  <c r="D78" i="141"/>
  <c r="D77" i="141"/>
  <c r="D76" i="141"/>
  <c r="D75" i="141"/>
  <c r="D74" i="141"/>
  <c r="D73" i="141"/>
  <c r="D72" i="141"/>
  <c r="D71" i="141"/>
  <c r="D70" i="141"/>
  <c r="D69" i="141"/>
  <c r="D68" i="141"/>
  <c r="D67" i="141"/>
  <c r="D66" i="141"/>
  <c r="D65" i="141"/>
  <c r="D64" i="141"/>
  <c r="D63" i="141"/>
  <c r="D62" i="141"/>
  <c r="D61" i="141"/>
  <c r="D60" i="141"/>
  <c r="D59" i="141"/>
  <c r="D58" i="141"/>
  <c r="D57" i="141"/>
  <c r="D55" i="141"/>
  <c r="D54" i="141"/>
  <c r="D53" i="141"/>
  <c r="D51" i="141"/>
  <c r="D50" i="141"/>
  <c r="D49" i="141"/>
  <c r="D48" i="141"/>
  <c r="D47" i="141"/>
  <c r="D46" i="141"/>
  <c r="D45" i="141"/>
  <c r="D44" i="141"/>
  <c r="D43" i="141"/>
  <c r="D42" i="141"/>
  <c r="D41" i="141"/>
  <c r="D40" i="141"/>
  <c r="D39" i="141"/>
  <c r="D38" i="141"/>
  <c r="D37" i="141"/>
  <c r="D36" i="141"/>
  <c r="D35" i="141"/>
  <c r="D34" i="141"/>
  <c r="D33" i="141"/>
  <c r="D32" i="141"/>
  <c r="D31" i="141"/>
  <c r="D30" i="141"/>
  <c r="D29" i="141"/>
  <c r="D28" i="141"/>
  <c r="D27" i="141"/>
  <c r="D26" i="141"/>
  <c r="D25" i="141"/>
  <c r="D24" i="141"/>
  <c r="D23" i="141"/>
  <c r="D22" i="141"/>
  <c r="D21" i="141"/>
  <c r="D20" i="141"/>
  <c r="D19" i="141"/>
  <c r="D18" i="141"/>
  <c r="D17" i="141"/>
  <c r="D16" i="141"/>
  <c r="D15" i="141"/>
  <c r="D14" i="141"/>
  <c r="D13" i="141"/>
  <c r="D12" i="141"/>
  <c r="D11" i="141"/>
  <c r="D10" i="141"/>
  <c r="D9" i="141"/>
  <c r="D9" i="128"/>
  <c r="E80" i="123"/>
  <c r="E76" i="123"/>
  <c r="E71" i="123"/>
  <c r="C64" i="123"/>
  <c r="D56" i="123"/>
  <c r="C39" i="136" l="1"/>
  <c r="C38" i="136"/>
  <c r="D52" i="136" l="1"/>
  <c r="C52" i="136"/>
  <c r="D51" i="136"/>
  <c r="C51" i="136"/>
  <c r="D50" i="136"/>
  <c r="C50" i="136"/>
  <c r="D49" i="136"/>
  <c r="C49" i="136"/>
  <c r="D48" i="136"/>
  <c r="C48" i="136"/>
  <c r="D47" i="136"/>
  <c r="C47" i="136"/>
  <c r="D46" i="136"/>
  <c r="C46" i="136"/>
  <c r="D45" i="136"/>
  <c r="C45" i="136"/>
  <c r="D44" i="136"/>
  <c r="C44" i="136"/>
  <c r="C43" i="136"/>
  <c r="C42" i="136"/>
  <c r="C41" i="136"/>
  <c r="C40" i="136"/>
  <c r="E34" i="137" l="1"/>
  <c r="E35" i="137"/>
  <c r="E36" i="137"/>
  <c r="E37" i="137"/>
  <c r="E38" i="137"/>
  <c r="E39" i="137"/>
  <c r="E40" i="137"/>
  <c r="E41" i="137"/>
  <c r="E42" i="137"/>
  <c r="E33" i="137"/>
  <c r="E25" i="137"/>
  <c r="E26" i="137"/>
  <c r="E27" i="137"/>
  <c r="E28" i="137"/>
  <c r="E24" i="137"/>
  <c r="E10" i="137"/>
  <c r="E11" i="137"/>
  <c r="E12" i="137"/>
  <c r="E13" i="137"/>
  <c r="E14" i="137"/>
  <c r="E15" i="137"/>
  <c r="E16" i="137"/>
  <c r="E17" i="137"/>
  <c r="E18" i="137"/>
  <c r="E19" i="137"/>
  <c r="E9" i="137"/>
</calcChain>
</file>

<file path=xl/comments1.xml><?xml version="1.0" encoding="utf-8"?>
<comments xmlns="http://schemas.openxmlformats.org/spreadsheetml/2006/main">
  <authors>
    <author>Hugo Gonzalez</author>
    <author>Hugo de Jesus Gonzalez Olaya</author>
  </authors>
  <commentList>
    <comment ref="A16" authorId="0" shapeId="0">
      <text>
        <r>
          <rPr>
            <b/>
            <sz val="8"/>
            <color indexed="81"/>
            <rFont val="Tahoma"/>
            <family val="2"/>
          </rPr>
          <t>Lista roles separados por coma, ejemplo: 
[R_A], [R_B], [R_C]</t>
        </r>
      </text>
    </comment>
    <comment ref="A17" authorId="0" shapeId="0">
      <text>
        <r>
          <rPr>
            <b/>
            <sz val="8"/>
            <color indexed="81"/>
            <rFont val="Tahoma"/>
            <family val="2"/>
          </rPr>
          <t>Tipos de objeto, separados por coma (si deja en blanco utiliza todos los tipos de objeto), ejemplo: U,V,P,FN,TF,IF,SQ,SCHEMAXML,SERVICE
Donde:
U: Tabla
V: Vista
P: Procedimiento almacenado
FN: Función escalar
TF: Función tabla
IF: Función tabla
SQ: Colas Service broker
SCHEMAXML: Esquema XML
SERVICE: Servicio Service broker</t>
        </r>
      </text>
    </comment>
    <comment ref="A18" authorId="0" shapeId="0">
      <text>
        <r>
          <rPr>
            <b/>
            <sz val="8"/>
            <color indexed="81"/>
            <rFont val="Tahoma"/>
            <family val="2"/>
          </rPr>
          <t>Escriba lista de esquemas separados por coma (,) o deje en blaco para usar todos los esquemas. Ejemplo: Dimensiones</t>
        </r>
      </text>
    </comment>
    <comment ref="A19" authorId="0" shapeId="0">
      <text>
        <r>
          <rPr>
            <b/>
            <sz val="8"/>
            <color indexed="81"/>
            <rFont val="Tahoma"/>
            <family val="2"/>
          </rPr>
          <t>Escriba lista de objetos separadas por coma (,) o deje en blanco para seleccionar todos los objetos. Ejemplo: DimAgentes,DimBarras,DimUnidades</t>
        </r>
      </text>
    </comment>
    <comment ref="A20" authorId="0" shapeId="0">
      <text>
        <r>
          <rPr>
            <b/>
            <sz val="8"/>
            <color indexed="81"/>
            <rFont val="Tahoma"/>
            <family val="2"/>
          </rPr>
          <t>Esquemas a ser excluidos, ejemplo:
TMP, Administracion</t>
        </r>
      </text>
    </comment>
    <comment ref="A21" authorId="0" shapeId="0">
      <text>
        <r>
          <rPr>
            <b/>
            <sz val="8"/>
            <color indexed="81"/>
            <rFont val="Tahoma"/>
            <family val="2"/>
          </rPr>
          <t>Objetos a ser excluidos, ejemplo:
TruncateLista, SysLog</t>
        </r>
      </text>
    </comment>
    <comment ref="A22" authorId="0" shapeId="0">
      <text>
        <r>
          <rPr>
            <b/>
            <sz val="8"/>
            <color indexed="81"/>
            <rFont val="Tahoma"/>
            <family val="2"/>
          </rPr>
          <t>Borra todas las hojas excepto: Configuraciones, Plantilla, Logines, UsuariosRoles. Escriba: SI/NO.</t>
        </r>
      </text>
    </comment>
    <comment ref="A23" authorId="0" shapeId="0">
      <text>
        <r>
          <rPr>
            <b/>
            <sz val="8"/>
            <color indexed="81"/>
            <rFont val="Tahoma"/>
            <family val="2"/>
          </rPr>
          <t>Despues de ejecutar, usar NO, para prevenir escritura con la macro. Escriba: SI/NO</t>
        </r>
      </text>
    </comment>
    <comment ref="C55" authorId="0" shapeId="0">
      <text>
        <r>
          <rPr>
            <b/>
            <sz val="8"/>
            <color indexed="81"/>
            <rFont val="Tahoma"/>
            <family val="2"/>
          </rPr>
          <t>C: INSERT
R: SELECT
U: UPDATE
D: DELETE
X: EXECUTE
F: REFERENCE
H: Esquema XML
N: SEND (Enviar mensaje en servicio Service Broker)
V: RECEIVE (Recibir mensaje en cola Service Broker)</t>
        </r>
      </text>
    </comment>
    <comment ref="B62" authorId="1" shapeId="0">
      <text>
        <r>
          <rPr>
            <b/>
            <sz val="9"/>
            <color indexed="81"/>
            <rFont val="Tahoma"/>
            <family val="2"/>
          </rPr>
          <t>Base de datos predeterminada para crear login.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63" authorId="1" shapeId="0">
      <text>
        <r>
          <rPr>
            <b/>
            <sz val="9"/>
            <color indexed="81"/>
            <rFont val="Tahoma"/>
            <family val="2"/>
          </rPr>
          <t>El password es igual al login. Debe cambiarlo antes de ejecutar.</t>
        </r>
      </text>
    </comment>
    <comment ref="B63" authorId="0" shapeId="0">
      <text>
        <r>
          <rPr>
            <b/>
            <sz val="8"/>
            <color indexed="81"/>
            <rFont val="Tahoma"/>
            <family val="2"/>
          </rPr>
          <t>Indique el tipo de login
SI: Login SQL Server
NO: Login Windows</t>
        </r>
      </text>
    </comment>
    <comment ref="C63" authorId="1" shapeId="0">
      <text>
        <r>
          <rPr>
            <b/>
            <sz val="9"/>
            <color indexed="81"/>
            <rFont val="Tahoma"/>
            <family val="2"/>
          </rPr>
          <t>El password es igual al login. Debe cambiarlo antes de ejecutar.</t>
        </r>
      </text>
    </comment>
    <comment ref="D63" authorId="1" shapeId="0">
      <text>
        <r>
          <rPr>
            <b/>
            <sz val="9"/>
            <color indexed="81"/>
            <rFont val="Tahoma"/>
            <family val="2"/>
          </rPr>
          <t>Persona responsable del login, si es cuanta aplicativo indicarlo</t>
        </r>
      </text>
    </comment>
    <comment ref="C70" authorId="0" shapeId="0">
      <text>
        <r>
          <rPr>
            <b/>
            <sz val="8"/>
            <color indexed="81"/>
            <rFont val="Tahoma"/>
            <family val="2"/>
          </rPr>
          <t>Login al cual mapear el usuario, si deja en blanco utiliza el usuario</t>
        </r>
      </text>
    </comment>
    <comment ref="D70" authorId="0" shapeId="0">
      <text>
        <r>
          <rPr>
            <b/>
            <sz val="8"/>
            <color indexed="81"/>
            <rFont val="Tahoma"/>
            <family val="2"/>
          </rPr>
          <t>Puede estar en blanco, ejemplo: dbo</t>
        </r>
      </text>
    </comment>
    <comment ref="C75" authorId="0" shapeId="0">
      <text>
        <r>
          <rPr>
            <b/>
            <sz val="8"/>
            <color indexed="81"/>
            <rFont val="Tahoma"/>
            <family val="2"/>
          </rPr>
          <t>Puede estar en blanco, ejemplo: dbo</t>
        </r>
      </text>
    </comment>
    <comment ref="D79" authorId="0" shapeId="0">
      <text>
        <r>
          <rPr>
            <b/>
            <sz val="8"/>
            <color indexed="81"/>
            <rFont val="Tahoma"/>
            <family val="2"/>
          </rPr>
          <t>Indique el tipo de login
SI: Login SQL Server
NO: Login Windows</t>
        </r>
      </text>
    </comment>
  </commentList>
</comments>
</file>

<file path=xl/comments2.xml><?xml version="1.0" encoding="utf-8"?>
<comments xmlns="http://schemas.openxmlformats.org/spreadsheetml/2006/main">
  <authors>
    <author>Hugo Gonzalez</author>
  </authors>
  <commentList>
    <comment ref="C8" authorId="0" shapeId="0">
      <text>
        <r>
          <rPr>
            <b/>
            <sz val="8"/>
            <color indexed="81"/>
            <rFont val="Tahoma"/>
            <family val="2"/>
          </rPr>
          <t>C: INSERT
R: SELECT
U: UPDATE
D: DELETE
X: EXECUTE
F: REFERENCE
H: Esquema XML
N: SEND (Enviar mensaje en servicio Service Broker)
V: RECEIVE (Recibir mensaje en cola Service Broker)</t>
        </r>
      </text>
    </comment>
  </commentList>
</comments>
</file>

<file path=xl/comments3.xml><?xml version="1.0" encoding="utf-8"?>
<comments xmlns="http://schemas.openxmlformats.org/spreadsheetml/2006/main">
  <authors>
    <author>Hugo de Jesus Gonzalez Olaya</author>
    <author>Hugo Gonzalez</author>
  </authors>
  <commentList>
    <comment ref="A8" authorId="0" shapeId="0">
      <text>
        <r>
          <rPr>
            <b/>
            <sz val="9"/>
            <color indexed="81"/>
            <rFont val="Tahoma"/>
            <family val="2"/>
          </rPr>
          <t>Formato: MiDominio\MiUsuario</t>
        </r>
      </text>
    </comment>
    <comment ref="B8" authorId="1" shapeId="0">
      <text>
        <r>
          <rPr>
            <b/>
            <sz val="8"/>
            <color indexed="81"/>
            <rFont val="Tahoma"/>
            <family val="2"/>
          </rPr>
          <t>Formatio: MiDominio\MiGrupo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Persona o entidad responsable del usuario del sistema operativo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Cuenta tecnica de dominio: MiDominio\MiUsuarioTecnico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Ejemplo: CrdMiAplicacion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Ejempplo: PrxMiAplicacion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Ejemplo: SSIS, CmdExec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Usuario SQL de la aplicación: USR_MiUsuario</t>
        </r>
      </text>
    </comment>
    <comment ref="B36" authorId="0" shapeId="0">
      <text>
        <r>
          <rPr>
            <b/>
            <sz val="9"/>
            <color indexed="81"/>
            <rFont val="Tahoma"/>
            <family val="2"/>
          </rPr>
          <t>Base de datos predeterminada para crear login.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7" authorId="0" shapeId="0">
      <text>
        <r>
          <rPr>
            <b/>
            <sz val="9"/>
            <color indexed="81"/>
            <rFont val="Tahoma"/>
            <family val="2"/>
          </rPr>
          <t>El password es igual al login. Debe cambiarlo antes de ejecutar.</t>
        </r>
      </text>
    </comment>
    <comment ref="B37" authorId="1" shapeId="0">
      <text>
        <r>
          <rPr>
            <b/>
            <sz val="8"/>
            <color indexed="81"/>
            <rFont val="Tahoma"/>
            <family val="2"/>
          </rPr>
          <t>Indique el tipo de login
SI: Login SQL Server
NO: Login Windows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El password es igual al login. Debe cambiarlo antes de ejecutar.</t>
        </r>
      </text>
    </comment>
    <comment ref="A56" authorId="1" shapeId="0">
      <text>
        <r>
          <rPr>
            <b/>
            <sz val="8"/>
            <color indexed="81"/>
            <rFont val="Tahoma"/>
            <family val="2"/>
          </rPr>
          <t>Formatio: MiDominio\MiGrupo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>Formato: MiDominio\MiUsuario</t>
        </r>
      </text>
    </comment>
  </commentList>
</comments>
</file>

<file path=xl/comments4.xml><?xml version="1.0" encoding="utf-8"?>
<comments xmlns="http://schemas.openxmlformats.org/spreadsheetml/2006/main">
  <authors>
    <author>Hugo Gonzalez</author>
  </authors>
  <commentList>
    <comment ref="C8" authorId="0" shapeId="0">
      <text>
        <r>
          <rPr>
            <b/>
            <sz val="8"/>
            <color indexed="81"/>
            <rFont val="Tahoma"/>
            <family val="2"/>
          </rPr>
          <t>Login al cual mapear el usuario, si deja en blanco utiliza el usuario</t>
        </r>
      </text>
    </comment>
    <comment ref="D8" authorId="0" shapeId="0">
      <text>
        <r>
          <rPr>
            <b/>
            <sz val="8"/>
            <color indexed="81"/>
            <rFont val="Tahoma"/>
            <family val="2"/>
          </rPr>
          <t>Puede estar en blanco, ejemplo: dbo</t>
        </r>
      </text>
    </comment>
    <comment ref="C23" authorId="0" shapeId="0">
      <text>
        <r>
          <rPr>
            <b/>
            <sz val="8"/>
            <color indexed="81"/>
            <rFont val="Tahoma"/>
            <family val="2"/>
          </rPr>
          <t>Puede estar en blanco, ejemplo: dbo</t>
        </r>
      </text>
    </comment>
    <comment ref="D32" authorId="0" shapeId="0">
      <text>
        <r>
          <rPr>
            <b/>
            <sz val="8"/>
            <color indexed="81"/>
            <rFont val="Tahoma"/>
            <family val="2"/>
          </rPr>
          <t>Indique el tipo de login
SI: Login SQL Server
NO: Login Windows</t>
        </r>
      </text>
    </comment>
  </commentList>
</comments>
</file>

<file path=xl/comments5.xml><?xml version="1.0" encoding="utf-8"?>
<comments xmlns="http://schemas.openxmlformats.org/spreadsheetml/2006/main">
  <authors>
    <author>Hugo de Jesus Gonzalez Olaya</author>
    <author>Hugo Gonzalez</author>
  </authors>
  <commentList>
    <comment ref="B19" authorId="0" shapeId="0">
      <text>
        <r>
          <rPr>
            <b/>
            <sz val="9"/>
            <color indexed="81"/>
            <rFont val="Tahoma"/>
            <family val="2"/>
          </rPr>
          <t>Usuario o grupo del directorio activo. Fomrato:
MiDominio\MiUsuario
MiDominio\MiGrupo</t>
        </r>
      </text>
    </comment>
    <comment ref="C31" authorId="1" shapeId="0">
      <text>
        <r>
          <rPr>
            <b/>
            <sz val="8"/>
            <color indexed="81"/>
            <rFont val="Tahoma"/>
            <family val="2"/>
          </rPr>
          <t>Formatio: MiDominio\MiGrupo</t>
        </r>
      </text>
    </comment>
    <comment ref="C46" authorId="1" shapeId="0">
      <text>
        <r>
          <rPr>
            <b/>
            <sz val="8"/>
            <color indexed="81"/>
            <rFont val="Tahoma"/>
            <family val="2"/>
          </rPr>
          <t>Formatio: MiDominio\MiGrupo</t>
        </r>
      </text>
    </comment>
  </commentList>
</comments>
</file>

<file path=xl/comments6.xml><?xml version="1.0" encoding="utf-8"?>
<comments xmlns="http://schemas.openxmlformats.org/spreadsheetml/2006/main">
  <authors>
    <author>Hugo Gonzalez</author>
  </authors>
  <commentList>
    <comment ref="C8" authorId="0" shapeId="0">
      <text>
        <r>
          <rPr>
            <b/>
            <sz val="8"/>
            <color indexed="81"/>
            <rFont val="Tahoma"/>
            <family val="2"/>
          </rPr>
          <t>C: INSERT
R: SELECT
U: UPDATE
D: DELETE
X: EXECUTE
F: REFERENCE
H: Esquema XML
N: SEND (Enviar mensaje en servicio Service Broker)
V: RECEIVE (Recibir mensaje en cola Service Broker)</t>
        </r>
      </text>
    </comment>
  </commentList>
</comments>
</file>

<file path=xl/sharedStrings.xml><?xml version="1.0" encoding="utf-8"?>
<sst xmlns="http://schemas.openxmlformats.org/spreadsheetml/2006/main" count="746" uniqueCount="297">
  <si>
    <t>SI</t>
  </si>
  <si>
    <t>NO</t>
  </si>
  <si>
    <t>Si / No</t>
  </si>
  <si>
    <t>Permitr realizar cambios</t>
  </si>
  <si>
    <t>Tipos de objetos</t>
  </si>
  <si>
    <t>Excluir esquemas</t>
  </si>
  <si>
    <t>Excluir objetos</t>
  </si>
  <si>
    <t>Nombre del rol</t>
  </si>
  <si>
    <t>Nombre proyecto</t>
  </si>
  <si>
    <t>Fecha</t>
  </si>
  <si>
    <t>Usuario</t>
  </si>
  <si>
    <t>Nombre analista</t>
  </si>
  <si>
    <t>Esquema</t>
  </si>
  <si>
    <t>Objeto</t>
  </si>
  <si>
    <t>Permisos 
CRUDXFHNV</t>
  </si>
  <si>
    <t>Nombre_Rol</t>
  </si>
  <si>
    <t>Esquemas a ser excluidos, ejemplo: TMP, Administracion</t>
  </si>
  <si>
    <t>Objetos a ser excluidos, ejemplo: TruncateLista, SysLog</t>
  </si>
  <si>
    <t>Login</t>
  </si>
  <si>
    <t>Instrucción Transact-SQL</t>
  </si>
  <si>
    <t>Base datos</t>
  </si>
  <si>
    <t>Esquema predeterminado</t>
  </si>
  <si>
    <t>Rol</t>
  </si>
  <si>
    <t>Esquema autorizado</t>
  </si>
  <si>
    <t>V</t>
  </si>
  <si>
    <t>Forma de ejecución</t>
  </si>
  <si>
    <t>LISTA DE PERMISOS</t>
  </si>
  <si>
    <t>C</t>
  </si>
  <si>
    <t>R</t>
  </si>
  <si>
    <t>U</t>
  </si>
  <si>
    <t>D</t>
  </si>
  <si>
    <t>X</t>
  </si>
  <si>
    <t>F</t>
  </si>
  <si>
    <t>H</t>
  </si>
  <si>
    <t>N</t>
  </si>
  <si>
    <t>INSERT</t>
  </si>
  <si>
    <t>SELECT</t>
  </si>
  <si>
    <t>UPDATE</t>
  </si>
  <si>
    <t>DELETE</t>
  </si>
  <si>
    <t>EXECUTE</t>
  </si>
  <si>
    <t>REFERENCE</t>
  </si>
  <si>
    <t>Esquema XML</t>
  </si>
  <si>
    <t>SEND (Enviar mensaje en servicio Service Broker)</t>
  </si>
  <si>
    <t>RECEIVE (Recibir mensaje en cola Service Broker)</t>
  </si>
  <si>
    <t>Descipción</t>
  </si>
  <si>
    <t>Instancia SQL Server</t>
  </si>
  <si>
    <t>Base de datos</t>
  </si>
  <si>
    <t>Sistema o aplicación</t>
  </si>
  <si>
    <t>Lista roles separados por coma, ejemplo: 
[R_A], [R_B], [R_C]</t>
  </si>
  <si>
    <t>Tipo login: SI: SQL, NO: Windows</t>
  </si>
  <si>
    <t>Usuario Windows</t>
  </si>
  <si>
    <t>Credencial</t>
  </si>
  <si>
    <t>Proxy</t>
  </si>
  <si>
    <t>Subsistemas del proxy</t>
  </si>
  <si>
    <t>Login asociado al proxy</t>
  </si>
  <si>
    <t>Base de datos predeterminada</t>
  </si>
  <si>
    <t>SSIS, CmdExec</t>
  </si>
  <si>
    <t>LOGINES PARA INSTANCIA SQL SERVER: …</t>
  </si>
  <si>
    <t>CUENTA PROXY PARA INSTANCIA SQL SERVER: …</t>
  </si>
  <si>
    <t>USUARIOS DE BASE DE DATOS PARA INSTANCIA SQL SERVER: …</t>
  </si>
  <si>
    <t>Persona a la cual asignar login</t>
  </si>
  <si>
    <t>ROLES DE BASE DE DATOS PARA INSTANCIA SQL SERVER: …</t>
  </si>
  <si>
    <t>Borra todas las hojas excepto: Configuraciones, Plantilla, Logines, UsuariosRoles. Escriba: SI/NO.</t>
  </si>
  <si>
    <t>Despues de ejecutar, usar NO, para prevenir escritura con la macro. Escriba: SI/NO</t>
  </si>
  <si>
    <t>Hoja</t>
  </si>
  <si>
    <t>Logines</t>
  </si>
  <si>
    <t>UsuariosRoles</t>
  </si>
  <si>
    <t>Plantilla</t>
  </si>
  <si>
    <t>ASOCIAR USUARIOS A ROLES DE BASE DE DATOS PARA INSTANCIA SQL SERVER: …</t>
  </si>
  <si>
    <t>No llene datos en las siguientes celdas, son referencias en caso que borre las fórmulas por error. Estas celdas son escritas en cada ejecución.</t>
  </si>
  <si>
    <t>Borrar hojas</t>
  </si>
  <si>
    <t>USUARIOS POR GRUPO DEL DIRECTORIO ACTIVO</t>
  </si>
  <si>
    <t>Login de Windows</t>
  </si>
  <si>
    <t>Grupo Directorio Activo</t>
  </si>
  <si>
    <t>Notas</t>
  </si>
  <si>
    <t>USUARIOS SHAREPOINT</t>
  </si>
  <si>
    <t>Grupo Sharepoint</t>
  </si>
  <si>
    <t>PERMISOS POR ROL PARA INSTANCIA SQL ANALYSIS SERVICES: … BASE DE DATOS: …</t>
  </si>
  <si>
    <t>Descripción</t>
  </si>
  <si>
    <t>General</t>
  </si>
  <si>
    <t>Origenes de datos</t>
  </si>
  <si>
    <t>Cubos</t>
  </si>
  <si>
    <t>Datos de celdas</t>
  </si>
  <si>
    <t>Dimensiones</t>
  </si>
  <si>
    <t>Datos de dimensiones</t>
  </si>
  <si>
    <t>Estructuras de minería</t>
  </si>
  <si>
    <t>USUARIOS POR ROL PARA INSTANCIA SQL ANALYSIS SERVICES: … BASE DE DATOS: …</t>
  </si>
  <si>
    <t>PERMISOS POR ROL PARA INSTANCIA SQL REPORTING SERVICES: …</t>
  </si>
  <si>
    <t>Carpeta</t>
  </si>
  <si>
    <t>Permisos</t>
  </si>
  <si>
    <t>USUARIOS POR ROL PARA INSTANCIA SQL REPORTING SERVICES: …</t>
  </si>
  <si>
    <t>Versión Id: 1.0.0</t>
  </si>
  <si>
    <t>Conectado</t>
  </si>
  <si>
    <t>Autenticación Servidor SQL Server</t>
  </si>
  <si>
    <t>Parámetros de ejecución</t>
  </si>
  <si>
    <t>Tareas ejecutadas</t>
  </si>
  <si>
    <t>1. Llene los parámetros de ejecución</t>
  </si>
  <si>
    <t>2. Presione el botón "Autenticar SQL Server" para realizar conexión al servidor SQL que tiene las consultas para llenar las hojas</t>
  </si>
  <si>
    <t>3. Presione el botón "Generar hojas" para llenar las hojas</t>
  </si>
  <si>
    <t>4. Modifque en forma manual la asignación de permisos en las hojas creadas</t>
  </si>
  <si>
    <t>5. Llene en forma manual las hojas de logines, UsuariosRoles, Cubos_App</t>
  </si>
  <si>
    <t>Crear matriz CRUD</t>
  </si>
  <si>
    <t>Esquemas</t>
  </si>
  <si>
    <t>Escriba lista de esquemas separados por coma (,) o deje en blaco para usar todos los esquemas. Ejemplo: Dimensiones</t>
  </si>
  <si>
    <t>Objetos</t>
  </si>
  <si>
    <t>Escriba lista de objetos separadas por coma (,) o deje en blanco para seleccionar todos los objetos. Ejemplo: DimAgentes,DimBarras,DimUnidades</t>
  </si>
  <si>
    <t>Versión Fecha: 2016-07-21</t>
  </si>
  <si>
    <t>U,V,P,FN,TF,IF,SQ,SCHEMAXML,SERVICE</t>
  </si>
  <si>
    <t>Tipos de objeto, separados por coma (si deja en blanco utiliza todos los tipos de objeto), ejemplo: U,V,P,FN,TF,SQ,SCHEMAXML,SERVICE
U: Tabla
V: Vista
P: Procedimiento almacenado
FN: Función escalar
TF: Función tabla
IF: Función tabla
SQ: Colas Service broker
SCHEMAXML: Esquema XML
SERVICE: Servicio Service broker</t>
  </si>
  <si>
    <t>Matriz CRUD</t>
  </si>
  <si>
    <t>Demanda BI</t>
  </si>
  <si>
    <t>Hugo González Olaya</t>
  </si>
  <si>
    <t>DemandaDW</t>
  </si>
  <si>
    <t>Matriz CRUD - DIRECTORIO ACTIVO, LOGINES SQL, PROXY SQL, SHAREPOINT</t>
  </si>
  <si>
    <t>Matriz CRUD - PRIVILEGIOS POR OBJETO</t>
  </si>
  <si>
    <t>Matriz CRUD - USUARIOS Y ROLES DE BASE DE DATOS</t>
  </si>
  <si>
    <t>Matriz CRUD - PERMISOS CUBOS, RS, OTROS SERVICIOS Y APLICACIONES</t>
  </si>
  <si>
    <t>R_DemandaDW</t>
  </si>
  <si>
    <t>TABLAS</t>
  </si>
  <si>
    <t>[Audit]</t>
  </si>
  <si>
    <t>[Bitacora]</t>
  </si>
  <si>
    <t>CRUDF</t>
  </si>
  <si>
    <t>[BitacoraDetail]</t>
  </si>
  <si>
    <t>[BitacoraFile]</t>
  </si>
  <si>
    <t>[BitacoraState]</t>
  </si>
  <si>
    <t>[BitacoraStatistic]</t>
  </si>
  <si>
    <t>[BitacoraTable]</t>
  </si>
  <si>
    <t>[BitacoraType]</t>
  </si>
  <si>
    <t>[dbo]</t>
  </si>
  <si>
    <t>[DW]</t>
  </si>
  <si>
    <t>[DimAgente]</t>
  </si>
  <si>
    <t>[DimCompania]</t>
  </si>
  <si>
    <t>[DimFecha]</t>
  </si>
  <si>
    <t>[DimGeografia]</t>
  </si>
  <si>
    <t>[DimMercado]</t>
  </si>
  <si>
    <t>[DimPeriodo]</t>
  </si>
  <si>
    <t>[FactDemandaPerdida]</t>
  </si>
  <si>
    <t>[Staging]</t>
  </si>
  <si>
    <t>[TmpDimAgente]</t>
  </si>
  <si>
    <t>[TmpDimCompania]</t>
  </si>
  <si>
    <t>[TmpDimGeografia]</t>
  </si>
  <si>
    <t>[TmpFactDemandaPerdida]</t>
  </si>
  <si>
    <t>[TmpModelVersion]</t>
  </si>
  <si>
    <t>[TruncateList]</t>
  </si>
  <si>
    <t>[Utility]</t>
  </si>
  <si>
    <t>[ChangeDateForDim]</t>
  </si>
  <si>
    <t>[CubePartition]</t>
  </si>
  <si>
    <t>[CubePartitionDetail]</t>
  </si>
  <si>
    <t>[CubeSystem]</t>
  </si>
  <si>
    <t>[MetricSystem]</t>
  </si>
  <si>
    <t>[ModelLoad]</t>
  </si>
  <si>
    <t>[ModelParameter]</t>
  </si>
  <si>
    <t>[ModelSchedule]</t>
  </si>
  <si>
    <t>[ModelSystem]</t>
  </si>
  <si>
    <t>[ModelVersion]</t>
  </si>
  <si>
    <t>[ModuleModel]</t>
  </si>
  <si>
    <t>[ModuleProgramming]</t>
  </si>
  <si>
    <t>[ModuleSystem]</t>
  </si>
  <si>
    <t>[ParameterKeyValue]</t>
  </si>
  <si>
    <t>[QuerySQL]</t>
  </si>
  <si>
    <t>[ScheduleSystem]</t>
  </si>
  <si>
    <t>[SpecialDate]</t>
  </si>
  <si>
    <t>[Subscription]</t>
  </si>
  <si>
    <t>[UserAgent]</t>
  </si>
  <si>
    <t>[UserDomain]</t>
  </si>
  <si>
    <t/>
  </si>
  <si>
    <t>VISTAS</t>
  </si>
  <si>
    <t>[vFactDemandaPerdida]</t>
  </si>
  <si>
    <t>PROCEDIMIENTOS ALMACENADO</t>
  </si>
  <si>
    <t>[spBitacora_Cancel]</t>
  </si>
  <si>
    <t>XF</t>
  </si>
  <si>
    <t>[spBitacora_End]</t>
  </si>
  <si>
    <t>[spBitacora_Error]</t>
  </si>
  <si>
    <t>[spBitacora_Start]</t>
  </si>
  <si>
    <t>[spBitacoraDetail_Insert]</t>
  </si>
  <si>
    <t>[spBitacoraFile_Cancel]</t>
  </si>
  <si>
    <t>[spBitacoraFile_End]</t>
  </si>
  <si>
    <t>[spBitacoraFile_Error]</t>
  </si>
  <si>
    <t>[spBitacoraFile_GetFileId]</t>
  </si>
  <si>
    <t>[spBitacoraFile_IsErrorCanceled]</t>
  </si>
  <si>
    <t>[spBitacoraFile_Start]</t>
  </si>
  <si>
    <t>[spBitacoraFile_Validate]</t>
  </si>
  <si>
    <t>[spBitacoraStatistic_End]</t>
  </si>
  <si>
    <t>[spBitacoraStatistic_Start]</t>
  </si>
  <si>
    <t>[spBitacoraTable_Insert]</t>
  </si>
  <si>
    <t>[spInferDimAgente]</t>
  </si>
  <si>
    <t>[spInferDimCompania]</t>
  </si>
  <si>
    <t>[spInferDimGeografia]</t>
  </si>
  <si>
    <t>[spLoadDimAgente]</t>
  </si>
  <si>
    <t>[spLoadDimCompania]</t>
  </si>
  <si>
    <t>[spLoadDimDate]</t>
  </si>
  <si>
    <t>[spLoadDimDateNext]</t>
  </si>
  <si>
    <t>[spLoadDimGeografia]</t>
  </si>
  <si>
    <t>[spLoadDimPeriod]</t>
  </si>
  <si>
    <t>[spLoadFactDemandaPerdida]</t>
  </si>
  <si>
    <t>[spTruncateTable]</t>
  </si>
  <si>
    <t>[PrintLongText]</t>
  </si>
  <si>
    <t>[spGetQuerySQL]</t>
  </si>
  <si>
    <t>[spLoadModelVersion]</t>
  </si>
  <si>
    <t>[spModuleProgramming_End]</t>
  </si>
  <si>
    <t>[spModuleProgramming_Query]</t>
  </si>
  <si>
    <t>[spModuleProgramming_Reload]</t>
  </si>
  <si>
    <t>[spModuleProgramming_Reload_Query]</t>
  </si>
  <si>
    <t>[spModuleProgramming_Sheduling]</t>
  </si>
  <si>
    <t>[spModuleProgramming_UpdateState]</t>
  </si>
  <si>
    <t>[spModuleProgramming_UpdateState_WithoutDate]</t>
  </si>
  <si>
    <t>[spOLAP_GetCatalogs]</t>
  </si>
  <si>
    <t>[spOLAP_GetCubes]</t>
  </si>
  <si>
    <t>[spOLAP_GetDimensions]</t>
  </si>
  <si>
    <t>[spOLAP_GetDimensionsAttributes]</t>
  </si>
  <si>
    <t>[spOLAP_GetHierarchies]</t>
  </si>
  <si>
    <t>[spOLAP_GetHierarchiesAttributes]</t>
  </si>
  <si>
    <t>[spOLAP_GetKPI]</t>
  </si>
  <si>
    <t>[spOLAP_GetMeasureGroups]</t>
  </si>
  <si>
    <t>[spOLAP_GetMeasureGroupsDimensions]</t>
  </si>
  <si>
    <t>[spOLAP_GetMeasureGroupsDimensionsSpaceDiagram]</t>
  </si>
  <si>
    <t>[spOLAP_GetMeasures]</t>
  </si>
  <si>
    <t>[spOLAP_GetMiningModel]</t>
  </si>
  <si>
    <t>[spOLAP_GetMiningModelColumns]</t>
  </si>
  <si>
    <t>[spOLAP_GetMiningStructureColumns]</t>
  </si>
  <si>
    <t>[spOLAP_GetMiningStructures]</t>
  </si>
  <si>
    <t>[spOLAP_GetPerspectives]</t>
  </si>
  <si>
    <t>[spOLAP_GetSearchObject]</t>
  </si>
  <si>
    <t>[spOLAP_PartitionDefine]</t>
  </si>
  <si>
    <t>[spOLAP_QueryPartition]</t>
  </si>
  <si>
    <t>[spOLAP_QueryProgramming]</t>
  </si>
  <si>
    <t>[spOLAP_ScriptXMLAParttition]</t>
  </si>
  <si>
    <t>[spOLAP_UpdatePartitionToCreated]</t>
  </si>
  <si>
    <t>[spOLAP_UpdatePartitionToProsessed]</t>
  </si>
  <si>
    <t>[spSubscription]</t>
  </si>
  <si>
    <t>FUNCIONES ESCALAR</t>
  </si>
  <si>
    <t>[GetBitacoraRoot]</t>
  </si>
  <si>
    <t>[ConvertUTF8Ansi]</t>
  </si>
  <si>
    <t>[ConvertUTF8String]</t>
  </si>
  <si>
    <t>[DateAddPeriod]</t>
  </si>
  <si>
    <t>[DateCountBusinessDays]</t>
  </si>
  <si>
    <t>[DateFormat]</t>
  </si>
  <si>
    <t>[fnString_AddPad]</t>
  </si>
  <si>
    <t>[GetDataPart_Period]</t>
  </si>
  <si>
    <t>[GetDateBusinessDays]</t>
  </si>
  <si>
    <t>[GetDateDiff]</t>
  </si>
  <si>
    <t>[GetDateDiffToString]</t>
  </si>
  <si>
    <t>[GetDateDiffValue]</t>
  </si>
  <si>
    <t>[GetDateDiffValue2]</t>
  </si>
  <si>
    <t>[GetDaysInMonth]</t>
  </si>
  <si>
    <t>[GetDurationBetweenDates]</t>
  </si>
  <si>
    <t>[GetEndOfDatePart]</t>
  </si>
  <si>
    <t>[GetEndOfDay]</t>
  </si>
  <si>
    <t>[GetEndOfHalf]</t>
  </si>
  <si>
    <t>[GetEndOfMonth]</t>
  </si>
  <si>
    <t>[GetEndOfMonth2]</t>
  </si>
  <si>
    <t>[GetEndOfQuarter]</t>
  </si>
  <si>
    <t>[GetEndOftWeek]</t>
  </si>
  <si>
    <t>[GetEndOfYear]</t>
  </si>
  <si>
    <t>[GetErrorCurrentToString]</t>
  </si>
  <si>
    <t>[GetHalf]</t>
  </si>
  <si>
    <t>[GetMonth2]</t>
  </si>
  <si>
    <t>[GetQuarter]</t>
  </si>
  <si>
    <t>[GetSchedule_NextExecution]</t>
  </si>
  <si>
    <t>[GetSchedule_NextExecutionDay]</t>
  </si>
  <si>
    <t>[GetSchedule_NextExecutionMoth]</t>
  </si>
  <si>
    <t>[GetSchedule_NextExecutionWeek]</t>
  </si>
  <si>
    <t>[GetStartOfDatePart]</t>
  </si>
  <si>
    <t>[GetStartOfDay]</t>
  </si>
  <si>
    <t>[GetStartOfHalf]</t>
  </si>
  <si>
    <t>[GetStartOfMonth]</t>
  </si>
  <si>
    <t>[GetStartOfMonth2]</t>
  </si>
  <si>
    <t>[GetStartOfQuarter]</t>
  </si>
  <si>
    <t>[GetStartOfWeek]</t>
  </si>
  <si>
    <t>[GetStartOfYear]</t>
  </si>
  <si>
    <t>[GetTimeStartEnd]</t>
  </si>
  <si>
    <t>FUNCIONES TABLA</t>
  </si>
  <si>
    <t>[GetBitacoraDetailTree]</t>
  </si>
  <si>
    <t>RF</t>
  </si>
  <si>
    <t>[GetBitacoraDetailTree_ByDate]</t>
  </si>
  <si>
    <t>[GetBitacoraFileTree]</t>
  </si>
  <si>
    <t>[GetBitacoraFileTree_ByDate]</t>
  </si>
  <si>
    <t>[GetBitacoraStatisticTree]</t>
  </si>
  <si>
    <t>[GetBitacoraStatisticTree_ByDate]</t>
  </si>
  <si>
    <t>[GetBitacoraTableTree]</t>
  </si>
  <si>
    <t>[GetBitacoraTableTree_ByDate]</t>
  </si>
  <si>
    <t>[GetBitacoraTree]</t>
  </si>
  <si>
    <t>[GetBitacoraTree_ByDate]</t>
  </si>
  <si>
    <t>[fnString_Split]</t>
  </si>
  <si>
    <t>[GetDateAge]</t>
  </si>
  <si>
    <t>[GetDateParts]</t>
  </si>
  <si>
    <t>[GetDateSequence]</t>
  </si>
  <si>
    <t>[GetParameters_SPFunction]</t>
  </si>
  <si>
    <t>[GetParametersModuleProgramming]</t>
  </si>
  <si>
    <t>[GetPeriod]</t>
  </si>
  <si>
    <t>[GetTimeHourParts]</t>
  </si>
  <si>
    <t>[GetTimeParts]</t>
  </si>
  <si>
    <t>COLAS SERVICE BROKER</t>
  </si>
  <si>
    <t>ESQUEMAS XML</t>
  </si>
  <si>
    <t>SERVICIOS SERVICE BROKER</t>
  </si>
  <si>
    <t>ESQUEMAS</t>
  </si>
  <si>
    <t>MVMOAN172A\SQL2017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</si>
</sst>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;@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8"/>
      <color indexed="81"/>
      <name val="Tahoma"/>
      <family val="2"/>
    </font>
    <font>
      <b/>
      <sz val="9"/>
      <name val="Arial"/>
      <family val="2"/>
    </font>
    <font>
      <b/>
      <sz val="10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0" tint="-0.499984740745262"/>
      <name val="Arial"/>
      <family val="2"/>
    </font>
    <font>
      <b/>
      <sz val="9"/>
      <color theme="1" tint="4.9989318521683403E-2"/>
      <name val="Arial"/>
      <family val="2"/>
    </font>
    <font>
      <b/>
      <sz val="9"/>
      <color theme="1"/>
      <name val="Arial"/>
      <family val="2"/>
    </font>
    <font>
      <sz val="9"/>
      <color theme="0" tint="-0.49998474074526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2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/>
      <top style="hair">
        <color theme="1" tint="4.9989318521683403E-2"/>
      </top>
      <bottom style="hair">
        <color theme="1" tint="4.9989318521683403E-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rgb="FF04993B"/>
      </bottom>
      <diagonal/>
    </border>
    <border>
      <left/>
      <right style="hair">
        <color theme="1"/>
      </right>
      <top style="medium">
        <color rgb="FF04993B"/>
      </top>
      <bottom style="hair">
        <color theme="1" tint="4.9989318521683403E-2"/>
      </bottom>
      <diagonal/>
    </border>
    <border>
      <left style="hair">
        <color theme="1"/>
      </left>
      <right/>
      <top style="medium">
        <color rgb="FF04993B"/>
      </top>
      <bottom style="hair">
        <color theme="1" tint="4.9989318521683403E-2"/>
      </bottom>
      <diagonal/>
    </border>
    <border>
      <left/>
      <right style="hair">
        <color theme="1"/>
      </right>
      <top style="hair">
        <color theme="1" tint="4.9989318521683403E-2"/>
      </top>
      <bottom style="hair">
        <color theme="1" tint="4.9989318521683403E-2"/>
      </bottom>
      <diagonal/>
    </border>
    <border>
      <left style="hair">
        <color theme="1"/>
      </left>
      <right/>
      <top style="hair">
        <color theme="1" tint="4.9989318521683403E-2"/>
      </top>
      <bottom style="hair">
        <color theme="1" tint="4.9989318521683403E-2"/>
      </bottom>
      <diagonal/>
    </border>
    <border>
      <left/>
      <right/>
      <top/>
      <bottom style="hair">
        <color theme="1" tint="4.9989318521683403E-2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04993B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04993B"/>
      </top>
      <bottom/>
      <diagonal/>
    </border>
    <border>
      <left/>
      <right style="hair">
        <color theme="1" tint="4.9989318521683403E-2"/>
      </right>
      <top style="hair">
        <color theme="1" tint="4.9989318521683403E-2"/>
      </top>
      <bottom style="hair">
        <color theme="1" tint="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12">
    <xf numFmtId="0" fontId="0" fillId="0" borderId="0" xfId="0"/>
    <xf numFmtId="0" fontId="2" fillId="0" borderId="0" xfId="1" applyFont="1" applyAlignment="1">
      <alignment horizontal="left" wrapText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6" fillId="0" borderId="0" xfId="0" applyFont="1"/>
    <xf numFmtId="0" fontId="6" fillId="0" borderId="0" xfId="0" applyFont="1" applyBorder="1"/>
    <xf numFmtId="0" fontId="7" fillId="0" borderId="0" xfId="0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vertical="center" wrapText="1"/>
    </xf>
    <xf numFmtId="0" fontId="7" fillId="0" borderId="0" xfId="0" applyFont="1" applyBorder="1" applyAlignment="1" applyProtection="1">
      <alignment horizontal="right" vertical="center"/>
    </xf>
    <xf numFmtId="0" fontId="2" fillId="0" borderId="0" xfId="0" applyNumberFormat="1" applyFont="1" applyBorder="1" applyAlignment="1" applyProtection="1">
      <alignment vertical="center" wrapText="1"/>
    </xf>
    <xf numFmtId="14" fontId="2" fillId="0" borderId="0" xfId="0" applyNumberFormat="1" applyFont="1" applyBorder="1" applyAlignment="1" applyProtection="1">
      <alignment horizontal="left" vertical="center" wrapText="1"/>
    </xf>
    <xf numFmtId="0" fontId="2" fillId="0" borderId="0" xfId="1" applyFont="1"/>
    <xf numFmtId="0" fontId="2" fillId="0" borderId="0" xfId="1" applyFont="1" applyAlignment="1">
      <alignment horizontal="left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9" fillId="0" borderId="0" xfId="0" applyFont="1" applyAlignment="1">
      <alignment vertical="center"/>
    </xf>
    <xf numFmtId="2" fontId="2" fillId="0" borderId="3" xfId="0" applyNumberFormat="1" applyFont="1" applyFill="1" applyBorder="1" applyAlignment="1">
      <alignment horizontal="center" vertical="center" wrapText="1"/>
    </xf>
    <xf numFmtId="2" fontId="2" fillId="0" borderId="4" xfId="0" applyNumberFormat="1" applyFont="1" applyFill="1" applyBorder="1" applyAlignment="1">
      <alignment vertical="center" wrapText="1"/>
    </xf>
    <xf numFmtId="2" fontId="2" fillId="0" borderId="5" xfId="0" applyNumberFormat="1" applyFont="1" applyFill="1" applyBorder="1" applyAlignment="1">
      <alignment vertical="center" wrapText="1"/>
    </xf>
    <xf numFmtId="0" fontId="10" fillId="0" borderId="6" xfId="0" applyFont="1" applyBorder="1" applyAlignment="1">
      <alignment vertical="center"/>
    </xf>
    <xf numFmtId="0" fontId="10" fillId="0" borderId="6" xfId="0" applyFont="1" applyBorder="1" applyAlignment="1">
      <alignment vertical="center" wrapText="1"/>
    </xf>
    <xf numFmtId="2" fontId="2" fillId="0" borderId="5" xfId="0" quotePrefix="1" applyNumberFormat="1" applyFont="1" applyFill="1" applyBorder="1" applyAlignment="1">
      <alignment vertical="center" wrapText="1"/>
    </xf>
    <xf numFmtId="2" fontId="4" fillId="2" borderId="5" xfId="0" applyNumberFormat="1" applyFont="1" applyFill="1" applyBorder="1" applyAlignment="1">
      <alignment horizontal="center" vertical="center" wrapText="1"/>
    </xf>
    <xf numFmtId="2" fontId="2" fillId="0" borderId="8" xfId="0" applyNumberFormat="1" applyFont="1" applyFill="1" applyBorder="1" applyAlignment="1">
      <alignment vertical="center" wrapText="1"/>
    </xf>
    <xf numFmtId="2" fontId="2" fillId="0" borderId="9" xfId="0" applyNumberFormat="1" applyFont="1" applyFill="1" applyBorder="1" applyAlignment="1">
      <alignment vertical="center" wrapText="1"/>
    </xf>
    <xf numFmtId="2" fontId="2" fillId="0" borderId="10" xfId="0" applyNumberFormat="1" applyFont="1" applyFill="1" applyBorder="1" applyAlignment="1">
      <alignment vertical="center" wrapText="1"/>
    </xf>
    <xf numFmtId="2" fontId="2" fillId="0" borderId="11" xfId="0" applyNumberFormat="1" applyFont="1" applyFill="1" applyBorder="1" applyAlignment="1">
      <alignment vertical="center" wrapText="1"/>
    </xf>
    <xf numFmtId="49" fontId="5" fillId="0" borderId="0" xfId="0" applyNumberFormat="1" applyFont="1" applyFill="1" applyBorder="1" applyAlignment="1" applyProtection="1">
      <alignment vertical="center" wrapText="1"/>
      <protection locked="0"/>
    </xf>
    <xf numFmtId="2" fontId="4" fillId="0" borderId="0" xfId="0" applyNumberFormat="1" applyFont="1" applyFill="1" applyBorder="1" applyAlignment="1">
      <alignment horizontal="right" vertical="top" wrapText="1"/>
    </xf>
    <xf numFmtId="0" fontId="8" fillId="0" borderId="0" xfId="0" applyFont="1" applyFill="1" applyBorder="1" applyAlignment="1" applyProtection="1">
      <alignment horizontal="right" vertical="center" wrapText="1"/>
    </xf>
    <xf numFmtId="0" fontId="8" fillId="0" borderId="0" xfId="0" applyFont="1" applyBorder="1" applyAlignment="1" applyProtection="1">
      <alignment horizontal="right" vertical="center"/>
    </xf>
    <xf numFmtId="2" fontId="2" fillId="0" borderId="13" xfId="0" applyNumberFormat="1" applyFont="1" applyFill="1" applyBorder="1" applyAlignment="1">
      <alignment vertical="center" wrapText="1"/>
    </xf>
    <xf numFmtId="0" fontId="8" fillId="0" borderId="7" xfId="0" applyFont="1" applyFill="1" applyBorder="1" applyAlignment="1">
      <alignment horizontal="center" vertical="center" wrapText="1"/>
    </xf>
    <xf numFmtId="2" fontId="2" fillId="0" borderId="12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0" fontId="8" fillId="3" borderId="14" xfId="1" applyFont="1" applyFill="1" applyBorder="1" applyAlignment="1">
      <alignment horizontal="center" vertical="center" wrapText="1"/>
    </xf>
    <xf numFmtId="0" fontId="7" fillId="3" borderId="14" xfId="0" applyFont="1" applyFill="1" applyBorder="1" applyAlignment="1" applyProtection="1">
      <alignment horizontal="right" vertical="center"/>
    </xf>
    <xf numFmtId="0" fontId="6" fillId="0" borderId="14" xfId="0" applyFont="1" applyBorder="1" applyAlignment="1">
      <alignment vertical="center" wrapText="1"/>
    </xf>
    <xf numFmtId="0" fontId="9" fillId="3" borderId="14" xfId="0" applyFont="1" applyFill="1" applyBorder="1" applyAlignment="1">
      <alignment vertical="center" wrapText="1"/>
    </xf>
    <xf numFmtId="2" fontId="4" fillId="3" borderId="14" xfId="0" applyNumberFormat="1" applyFont="1" applyFill="1" applyBorder="1" applyAlignment="1">
      <alignment horizontal="left" vertical="center" wrapText="1"/>
    </xf>
    <xf numFmtId="2" fontId="2" fillId="0" borderId="0" xfId="0" applyNumberFormat="1" applyFont="1" applyFill="1" applyBorder="1" applyAlignment="1">
      <alignment horizontal="right" vertical="top" wrapText="1"/>
    </xf>
    <xf numFmtId="0" fontId="6" fillId="0" borderId="14" xfId="0" applyFont="1" applyBorder="1" applyAlignment="1">
      <alignment horizontal="center" vertical="center" wrapText="1"/>
    </xf>
    <xf numFmtId="2" fontId="6" fillId="0" borderId="14" xfId="0" applyNumberFormat="1" applyFont="1" applyBorder="1" applyAlignment="1">
      <alignment vertical="center" wrapText="1"/>
    </xf>
    <xf numFmtId="2" fontId="6" fillId="0" borderId="0" xfId="0" applyNumberFormat="1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6" fillId="0" borderId="14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164" fontId="2" fillId="0" borderId="2" xfId="0" applyNumberFormat="1" applyFont="1" applyBorder="1" applyAlignment="1" applyProtection="1">
      <alignment horizontal="center" vertical="center" wrapText="1"/>
    </xf>
    <xf numFmtId="0" fontId="2" fillId="4" borderId="14" xfId="0" applyNumberFormat="1" applyFont="1" applyFill="1" applyBorder="1" applyAlignment="1" applyProtection="1">
      <alignment horizontal="center" vertical="center" wrapText="1"/>
    </xf>
    <xf numFmtId="0" fontId="6" fillId="0" borderId="14" xfId="0" applyFont="1" applyBorder="1"/>
    <xf numFmtId="0" fontId="8" fillId="5" borderId="14" xfId="1" applyFont="1" applyFill="1" applyBorder="1" applyAlignment="1">
      <alignment horizontal="center" vertical="center" wrapText="1"/>
    </xf>
    <xf numFmtId="0" fontId="0" fillId="0" borderId="14" xfId="0" applyBorder="1"/>
    <xf numFmtId="0" fontId="0" fillId="0" borderId="14" xfId="0" applyBorder="1" applyAlignment="1">
      <alignment wrapText="1"/>
    </xf>
    <xf numFmtId="0" fontId="6" fillId="0" borderId="14" xfId="0" applyFont="1" applyBorder="1" applyAlignment="1">
      <alignment wrapText="1"/>
    </xf>
    <xf numFmtId="0" fontId="8" fillId="0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3" fillId="0" borderId="18" xfId="0" applyFont="1" applyBorder="1" applyAlignment="1">
      <alignment horizontal="center"/>
    </xf>
    <xf numFmtId="0" fontId="6" fillId="0" borderId="5" xfId="0" applyFont="1" applyBorder="1" applyAlignment="1">
      <alignment vertical="center"/>
    </xf>
    <xf numFmtId="0" fontId="13" fillId="0" borderId="19" xfId="0" applyFont="1" applyBorder="1" applyAlignment="1">
      <alignment horizontal="center"/>
    </xf>
    <xf numFmtId="2" fontId="2" fillId="0" borderId="18" xfId="0" applyNumberFormat="1" applyFont="1" applyFill="1" applyBorder="1" applyAlignment="1">
      <alignment vertical="center" wrapText="1"/>
    </xf>
    <xf numFmtId="0" fontId="13" fillId="0" borderId="5" xfId="0" applyFont="1" applyBorder="1" applyAlignment="1">
      <alignment horizontal="center"/>
    </xf>
    <xf numFmtId="2" fontId="2" fillId="0" borderId="4" xfId="0" applyNumberFormat="1" applyFont="1" applyFill="1" applyBorder="1" applyAlignment="1">
      <alignment vertical="top" wrapText="1"/>
    </xf>
    <xf numFmtId="2" fontId="2" fillId="0" borderId="20" xfId="0" applyNumberFormat="1" applyFont="1" applyFill="1" applyBorder="1" applyAlignment="1">
      <alignment vertical="top" wrapText="1"/>
    </xf>
    <xf numFmtId="2" fontId="2" fillId="0" borderId="20" xfId="0" applyNumberFormat="1" applyFont="1" applyFill="1" applyBorder="1" applyAlignment="1">
      <alignment vertical="center" wrapText="1"/>
    </xf>
    <xf numFmtId="0" fontId="8" fillId="6" borderId="14" xfId="1" applyFont="1" applyFill="1" applyBorder="1" applyAlignment="1">
      <alignment horizontal="center" vertical="center" wrapText="1"/>
    </xf>
    <xf numFmtId="0" fontId="14" fillId="0" borderId="21" xfId="0" applyFont="1" applyFill="1" applyBorder="1" applyAlignment="1">
      <alignment vertical="center"/>
    </xf>
    <xf numFmtId="0" fontId="14" fillId="0" borderId="21" xfId="0" applyFont="1" applyFill="1" applyBorder="1" applyAlignment="1">
      <alignment horizontal="center" vertical="center"/>
    </xf>
    <xf numFmtId="0" fontId="14" fillId="0" borderId="21" xfId="0" applyFont="1" applyFill="1" applyBorder="1" applyAlignment="1">
      <alignment vertical="center" wrapText="1"/>
    </xf>
    <xf numFmtId="0" fontId="9" fillId="7" borderId="21" xfId="0" applyFont="1" applyFill="1" applyBorder="1"/>
    <xf numFmtId="0" fontId="6" fillId="7" borderId="21" xfId="0" applyFont="1" applyFill="1" applyBorder="1"/>
    <xf numFmtId="0" fontId="14" fillId="8" borderId="21" xfId="0" applyFont="1" applyFill="1" applyBorder="1" applyAlignment="1">
      <alignment vertical="center"/>
    </xf>
    <xf numFmtId="0" fontId="14" fillId="8" borderId="21" xfId="0" applyFont="1" applyFill="1" applyBorder="1" applyAlignment="1">
      <alignment horizontal="center" vertical="center"/>
    </xf>
    <xf numFmtId="0" fontId="14" fillId="8" borderId="21" xfId="0" applyFont="1" applyFill="1" applyBorder="1" applyAlignment="1">
      <alignment vertical="center" wrapText="1"/>
    </xf>
    <xf numFmtId="0" fontId="14" fillId="9" borderId="21" xfId="0" applyFont="1" applyFill="1" applyBorder="1" applyAlignment="1">
      <alignment vertical="center"/>
    </xf>
    <xf numFmtId="0" fontId="14" fillId="9" borderId="21" xfId="0" applyFont="1" applyFill="1" applyBorder="1" applyAlignment="1">
      <alignment horizontal="center" vertical="center"/>
    </xf>
    <xf numFmtId="0" fontId="14" fillId="9" borderId="21" xfId="0" applyFont="1" applyFill="1" applyBorder="1" applyAlignment="1">
      <alignment vertical="center" wrapText="1"/>
    </xf>
    <xf numFmtId="0" fontId="14" fillId="10" borderId="21" xfId="0" applyFont="1" applyFill="1" applyBorder="1" applyAlignment="1">
      <alignment vertical="center"/>
    </xf>
    <xf numFmtId="0" fontId="14" fillId="10" borderId="21" xfId="0" applyFont="1" applyFill="1" applyBorder="1" applyAlignment="1">
      <alignment horizontal="center" vertical="center"/>
    </xf>
    <xf numFmtId="0" fontId="14" fillId="10" borderId="21" xfId="0" applyFont="1" applyFill="1" applyBorder="1" applyAlignment="1">
      <alignment vertical="center" wrapText="1"/>
    </xf>
    <xf numFmtId="0" fontId="14" fillId="11" borderId="21" xfId="0" applyFont="1" applyFill="1" applyBorder="1" applyAlignment="1">
      <alignment vertical="center"/>
    </xf>
    <xf numFmtId="0" fontId="14" fillId="11" borderId="21" xfId="0" applyFont="1" applyFill="1" applyBorder="1" applyAlignment="1">
      <alignment horizontal="center" vertical="center"/>
    </xf>
    <xf numFmtId="0" fontId="14" fillId="11" borderId="21" xfId="0" applyFont="1" applyFill="1" applyBorder="1" applyAlignment="1">
      <alignment vertical="center" wrapText="1"/>
    </xf>
    <xf numFmtId="0" fontId="14" fillId="12" borderId="21" xfId="0" applyFont="1" applyFill="1" applyBorder="1" applyAlignment="1">
      <alignment vertical="center"/>
    </xf>
    <xf numFmtId="0" fontId="14" fillId="12" borderId="21" xfId="0" applyFont="1" applyFill="1" applyBorder="1" applyAlignment="1">
      <alignment horizontal="center" vertical="center"/>
    </xf>
    <xf numFmtId="0" fontId="14" fillId="12" borderId="21" xfId="0" applyFont="1" applyFill="1" applyBorder="1" applyAlignment="1">
      <alignment vertical="center" wrapText="1"/>
    </xf>
    <xf numFmtId="0" fontId="14" fillId="13" borderId="21" xfId="0" applyFont="1" applyFill="1" applyBorder="1" applyAlignment="1">
      <alignment vertical="center"/>
    </xf>
    <xf numFmtId="0" fontId="14" fillId="13" borderId="21" xfId="0" applyFont="1" applyFill="1" applyBorder="1" applyAlignment="1">
      <alignment horizontal="center" vertical="center"/>
    </xf>
    <xf numFmtId="0" fontId="14" fillId="13" borderId="21" xfId="0" applyFont="1" applyFill="1" applyBorder="1" applyAlignment="1">
      <alignment vertical="center" wrapText="1"/>
    </xf>
    <xf numFmtId="0" fontId="14" fillId="14" borderId="14" xfId="0" applyFont="1" applyFill="1" applyBorder="1" applyAlignment="1">
      <alignment vertical="center"/>
    </xf>
    <xf numFmtId="0" fontId="14" fillId="14" borderId="14" xfId="0" applyFont="1" applyFill="1" applyBorder="1" applyAlignment="1">
      <alignment horizontal="center" vertical="center"/>
    </xf>
    <xf numFmtId="0" fontId="14" fillId="14" borderId="14" xfId="0" applyFont="1" applyFill="1" applyBorder="1" applyAlignment="1">
      <alignment vertical="center" wrapText="1"/>
    </xf>
    <xf numFmtId="0" fontId="14" fillId="14" borderId="21" xfId="0" applyFont="1" applyFill="1" applyBorder="1" applyAlignment="1">
      <alignment vertical="center"/>
    </xf>
    <xf numFmtId="0" fontId="14" fillId="14" borderId="21" xfId="0" applyFont="1" applyFill="1" applyBorder="1" applyAlignment="1">
      <alignment horizontal="center" vertical="center"/>
    </xf>
    <xf numFmtId="0" fontId="14" fillId="14" borderId="21" xfId="0" applyFont="1" applyFill="1" applyBorder="1" applyAlignment="1">
      <alignment vertical="center" wrapText="1"/>
    </xf>
    <xf numFmtId="0" fontId="9" fillId="7" borderId="22" xfId="0" applyFont="1" applyFill="1" applyBorder="1" applyAlignment="1">
      <alignment vertical="center" wrapText="1"/>
    </xf>
    <xf numFmtId="0" fontId="6" fillId="7" borderId="22" xfId="0" applyFont="1" applyFill="1" applyBorder="1" applyAlignment="1">
      <alignment vertical="center"/>
    </xf>
    <xf numFmtId="0" fontId="6" fillId="7" borderId="22" xfId="0" applyFont="1" applyFill="1" applyBorder="1" applyAlignment="1">
      <alignment vertical="center" wrapText="1"/>
    </xf>
    <xf numFmtId="2" fontId="4" fillId="3" borderId="16" xfId="0" applyNumberFormat="1" applyFont="1" applyFill="1" applyBorder="1" applyAlignment="1">
      <alignment horizontal="center" vertical="center" wrapText="1"/>
    </xf>
    <xf numFmtId="2" fontId="4" fillId="3" borderId="15" xfId="0" applyNumberFormat="1" applyFont="1" applyFill="1" applyBorder="1" applyAlignment="1">
      <alignment horizontal="center" vertical="center" wrapText="1"/>
    </xf>
    <xf numFmtId="2" fontId="4" fillId="3" borderId="17" xfId="0" applyNumberFormat="1" applyFont="1" applyFill="1" applyBorder="1" applyAlignment="1">
      <alignment horizontal="center" vertical="center" wrapText="1"/>
    </xf>
    <xf numFmtId="2" fontId="4" fillId="3" borderId="14" xfId="0" applyNumberFormat="1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49" fontId="5" fillId="0" borderId="1" xfId="0" applyNumberFormat="1" applyFont="1" applyFill="1" applyBorder="1" applyAlignment="1" applyProtection="1">
      <alignment horizontal="left" vertical="center" wrapText="1"/>
      <protection locked="0"/>
    </xf>
    <xf numFmtId="0" fontId="2" fillId="0" borderId="3" xfId="0" applyFont="1" applyFill="1" applyBorder="1" applyAlignment="1">
      <alignment horizontal="left" vertical="center" wrapText="1"/>
    </xf>
    <xf numFmtId="0" fontId="2" fillId="0" borderId="12" xfId="0" applyFont="1" applyFill="1" applyBorder="1" applyAlignment="1">
      <alignment horizontal="left" vertical="center" wrapText="1"/>
    </xf>
    <xf numFmtId="2" fontId="4" fillId="5" borderId="16" xfId="0" applyNumberFormat="1" applyFont="1" applyFill="1" applyBorder="1" applyAlignment="1">
      <alignment horizontal="center" vertical="center" wrapText="1"/>
    </xf>
    <xf numFmtId="2" fontId="4" fillId="5" borderId="15" xfId="0" applyNumberFormat="1" applyFont="1" applyFill="1" applyBorder="1" applyAlignment="1">
      <alignment horizontal="center" vertical="center" wrapText="1"/>
    </xf>
    <xf numFmtId="2" fontId="4" fillId="5" borderId="17" xfId="0" applyNumberFormat="1" applyFont="1" applyFill="1" applyBorder="1" applyAlignment="1">
      <alignment horizontal="center" vertical="center" wrapText="1"/>
    </xf>
    <xf numFmtId="2" fontId="4" fillId="3" borderId="16" xfId="0" applyNumberFormat="1" applyFont="1" applyFill="1" applyBorder="1" applyAlignment="1">
      <alignment horizontal="left" vertical="center" wrapText="1"/>
    </xf>
    <xf numFmtId="2" fontId="4" fillId="3" borderId="15" xfId="0" applyNumberFormat="1" applyFont="1" applyFill="1" applyBorder="1" applyAlignment="1">
      <alignment horizontal="left" vertical="center" wrapText="1"/>
    </xf>
    <xf numFmtId="2" fontId="4" fillId="3" borderId="17" xfId="0" applyNumberFormat="1" applyFont="1" applyFill="1" applyBorder="1" applyAlignment="1">
      <alignment horizontal="left" vertical="center" wrapText="1"/>
    </xf>
  </cellXfs>
  <cellStyles count="2">
    <cellStyle name="Normal" xfId="0" builtinId="0"/>
    <cellStyle name="Normal_Mapas de transformación ION" xfId="1"/>
  </cellStyles>
  <dxfs count="2"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0499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1819275</xdr:colOff>
          <xdr:row>1</xdr:row>
          <xdr:rowOff>38100</xdr:rowOff>
        </xdr:from>
        <xdr:to>
          <xdr:col>2</xdr:col>
          <xdr:colOff>3086100</xdr:colOff>
          <xdr:row>3</xdr:row>
          <xdr:rowOff>95250</xdr:rowOff>
        </xdr:to>
        <xdr:sp macro="" textlink="">
          <xdr:nvSpPr>
            <xdr:cNvPr id="944129" name="btnGenerarHojas" hidden="1">
              <a:extLst>
                <a:ext uri="{63B3BB69-23CF-44E3-9099-C40C66FF867C}">
                  <a14:compatExt spid="_x0000_s944129"/>
                </a:ext>
                <a:ext uri="{FF2B5EF4-FFF2-40B4-BE49-F238E27FC236}">
                  <a16:creationId xmlns:a16="http://schemas.microsoft.com/office/drawing/2014/main" id="{00000000-0008-0000-0000-0000016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1</xdr:row>
          <xdr:rowOff>47625</xdr:rowOff>
        </xdr:from>
        <xdr:to>
          <xdr:col>2</xdr:col>
          <xdr:colOff>1704975</xdr:colOff>
          <xdr:row>3</xdr:row>
          <xdr:rowOff>104775</xdr:rowOff>
        </xdr:to>
        <xdr:sp macro="" textlink="">
          <xdr:nvSpPr>
            <xdr:cNvPr id="944157" name="btnLoginSQL" hidden="1">
              <a:extLst>
                <a:ext uri="{63B3BB69-23CF-44E3-9099-C40C66FF867C}">
                  <a14:compatExt spid="_x0000_s944157"/>
                </a:ext>
                <a:ext uri="{FF2B5EF4-FFF2-40B4-BE49-F238E27FC236}">
                  <a16:creationId xmlns:a16="http://schemas.microsoft.com/office/drawing/2014/main" id="{00000000-0008-0000-0000-00001D6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irtrab_MVM/Perdidas/Instal/Recurso/Admj_PrivroleApliPerdid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ciones"/>
      <sheetName val="Plantilla"/>
      <sheetName val="Logines"/>
      <sheetName val="UsuariosRoles"/>
      <sheetName val="Cubos_App"/>
      <sheetName val="CRUD_PerdidasSA"/>
      <sheetName val="CRUD_PerdidasDW"/>
    </sheetNames>
    <sheetDataSet>
      <sheetData sheetId="0">
        <row r="8">
          <cell r="E8" t="str">
            <v>SI</v>
          </cell>
        </row>
        <row r="9">
          <cell r="E9" t="str">
            <v>NO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E80"/>
  <sheetViews>
    <sheetView showGridLines="0" tabSelected="1" workbookViewId="0">
      <selection activeCell="E17" sqref="E17"/>
    </sheetView>
  </sheetViews>
  <sheetFormatPr baseColWidth="10" defaultColWidth="11.42578125" defaultRowHeight="12" x14ac:dyDescent="0.25"/>
  <cols>
    <col min="1" max="1" width="20.28515625" style="13" customWidth="1"/>
    <col min="2" max="2" width="36.28515625" style="13" customWidth="1"/>
    <col min="3" max="3" width="59.85546875" style="13" customWidth="1"/>
    <col min="4" max="4" width="15.85546875" style="13" bestFit="1" customWidth="1"/>
    <col min="5" max="5" width="18" style="13" bestFit="1" customWidth="1"/>
    <col min="6" max="6" width="37.140625" style="13" bestFit="1" customWidth="1"/>
    <col min="7" max="16384" width="11.42578125" style="13"/>
  </cols>
  <sheetData>
    <row r="1" spans="1:5" s="3" customFormat="1" ht="37.5" customHeight="1" x14ac:dyDescent="0.25">
      <c r="A1" s="2"/>
      <c r="B1" s="103" t="s">
        <v>109</v>
      </c>
      <c r="C1" s="103"/>
      <c r="D1" s="103"/>
      <c r="E1" s="103"/>
    </row>
    <row r="2" spans="1:5" x14ac:dyDescent="0.25">
      <c r="B2" s="56" t="s">
        <v>91</v>
      </c>
      <c r="D2" s="14"/>
      <c r="E2" s="14"/>
    </row>
    <row r="3" spans="1:5" s="3" customFormat="1" x14ac:dyDescent="0.25">
      <c r="B3" s="56" t="s">
        <v>106</v>
      </c>
      <c r="C3" s="13"/>
      <c r="D3" s="13"/>
      <c r="E3" s="13"/>
    </row>
    <row r="4" spans="1:5" s="3" customFormat="1" x14ac:dyDescent="0.25">
      <c r="C4" s="13"/>
      <c r="D4" s="13"/>
      <c r="E4" s="13"/>
    </row>
    <row r="5" spans="1:5" s="3" customFormat="1" x14ac:dyDescent="0.25">
      <c r="A5" s="29" t="s">
        <v>8</v>
      </c>
      <c r="B5" s="7" t="s">
        <v>110</v>
      </c>
      <c r="C5" s="13"/>
      <c r="D5" s="13"/>
      <c r="E5" s="13"/>
    </row>
    <row r="6" spans="1:5" s="3" customFormat="1" x14ac:dyDescent="0.25">
      <c r="A6" s="29" t="s">
        <v>11</v>
      </c>
      <c r="B6" s="7" t="s">
        <v>111</v>
      </c>
      <c r="C6" s="8"/>
      <c r="D6" s="10"/>
      <c r="E6" s="10"/>
    </row>
    <row r="7" spans="1:5" x14ac:dyDescent="0.25">
      <c r="A7" s="30" t="s">
        <v>9</v>
      </c>
      <c r="B7" s="48">
        <v>43713</v>
      </c>
    </row>
    <row r="9" spans="1:5" ht="12.75" thickBot="1" x14ac:dyDescent="0.3">
      <c r="A9" s="55" t="s">
        <v>92</v>
      </c>
      <c r="B9" s="102" t="s">
        <v>93</v>
      </c>
      <c r="C9" s="102"/>
      <c r="E9" s="32" t="s">
        <v>2</v>
      </c>
    </row>
    <row r="10" spans="1:5" ht="12.75" x14ac:dyDescent="0.2">
      <c r="A10" s="57">
        <v>1</v>
      </c>
      <c r="B10" s="17" t="s">
        <v>45</v>
      </c>
      <c r="C10" s="31" t="s">
        <v>296</v>
      </c>
      <c r="E10" s="33" t="s">
        <v>0</v>
      </c>
    </row>
    <row r="11" spans="1:5" x14ac:dyDescent="0.25">
      <c r="A11" s="58"/>
      <c r="B11" s="17" t="s">
        <v>46</v>
      </c>
      <c r="C11" s="18" t="s">
        <v>112</v>
      </c>
      <c r="E11" s="16" t="s">
        <v>1</v>
      </c>
    </row>
    <row r="12" spans="1:5" x14ac:dyDescent="0.25">
      <c r="A12" s="58"/>
      <c r="B12" s="17" t="s">
        <v>10</v>
      </c>
      <c r="C12" s="18"/>
    </row>
    <row r="15" spans="1:5" ht="12.75" thickBot="1" x14ac:dyDescent="0.3">
      <c r="A15" s="102" t="s">
        <v>94</v>
      </c>
      <c r="B15" s="102"/>
      <c r="C15" s="32" t="s">
        <v>44</v>
      </c>
    </row>
    <row r="16" spans="1:5" ht="24" x14ac:dyDescent="0.25">
      <c r="A16" s="17" t="s">
        <v>7</v>
      </c>
      <c r="B16" s="18" t="s">
        <v>117</v>
      </c>
      <c r="C16" s="20" t="s">
        <v>48</v>
      </c>
      <c r="D16" s="14"/>
    </row>
    <row r="17" spans="1:4" ht="132" x14ac:dyDescent="0.25">
      <c r="A17" s="17" t="s">
        <v>4</v>
      </c>
      <c r="B17" s="18" t="s">
        <v>107</v>
      </c>
      <c r="C17" s="20" t="s">
        <v>108</v>
      </c>
      <c r="D17" s="14"/>
    </row>
    <row r="18" spans="1:4" s="4" customFormat="1" ht="24" x14ac:dyDescent="0.2">
      <c r="A18" s="62" t="s">
        <v>102</v>
      </c>
      <c r="B18" s="18"/>
      <c r="C18" s="20" t="s">
        <v>103</v>
      </c>
    </row>
    <row r="19" spans="1:4" s="4" customFormat="1" ht="36" x14ac:dyDescent="0.2">
      <c r="A19" s="63" t="s">
        <v>104</v>
      </c>
      <c r="B19" s="64"/>
      <c r="C19" s="20" t="s">
        <v>105</v>
      </c>
    </row>
    <row r="20" spans="1:4" x14ac:dyDescent="0.25">
      <c r="A20" s="17" t="s">
        <v>5</v>
      </c>
      <c r="B20" s="18"/>
      <c r="C20" s="20" t="s">
        <v>16</v>
      </c>
      <c r="D20" s="14"/>
    </row>
    <row r="21" spans="1:4" x14ac:dyDescent="0.25">
      <c r="A21" s="17" t="s">
        <v>6</v>
      </c>
      <c r="B21" s="21"/>
      <c r="C21" s="20" t="s">
        <v>17</v>
      </c>
      <c r="D21" s="14"/>
    </row>
    <row r="22" spans="1:4" ht="24" x14ac:dyDescent="0.25">
      <c r="A22" s="17" t="s">
        <v>70</v>
      </c>
      <c r="B22" s="22" t="s">
        <v>1</v>
      </c>
      <c r="C22" s="20" t="s">
        <v>62</v>
      </c>
      <c r="D22" s="14"/>
    </row>
    <row r="23" spans="1:4" x14ac:dyDescent="0.25">
      <c r="A23" s="17" t="s">
        <v>3</v>
      </c>
      <c r="B23" s="22" t="s">
        <v>1</v>
      </c>
      <c r="C23" s="19" t="s">
        <v>63</v>
      </c>
      <c r="D23" s="14"/>
    </row>
    <row r="25" spans="1:4" x14ac:dyDescent="0.25">
      <c r="A25" s="15" t="s">
        <v>25</v>
      </c>
    </row>
    <row r="26" spans="1:4" x14ac:dyDescent="0.25">
      <c r="A26" s="13" t="s">
        <v>96</v>
      </c>
    </row>
    <row r="27" spans="1:4" x14ac:dyDescent="0.25">
      <c r="A27" s="13" t="s">
        <v>97</v>
      </c>
    </row>
    <row r="28" spans="1:4" x14ac:dyDescent="0.25">
      <c r="A28" s="13" t="s">
        <v>98</v>
      </c>
    </row>
    <row r="29" spans="1:4" x14ac:dyDescent="0.25">
      <c r="A29" s="13" t="s">
        <v>99</v>
      </c>
    </row>
    <row r="30" spans="1:4" x14ac:dyDescent="0.25">
      <c r="A30" s="13" t="s">
        <v>100</v>
      </c>
    </row>
    <row r="33" spans="1:2" ht="12.75" thickBot="1" x14ac:dyDescent="0.3">
      <c r="A33" s="55" t="s">
        <v>95</v>
      </c>
      <c r="B33" s="55" t="s">
        <v>44</v>
      </c>
    </row>
    <row r="34" spans="1:2" ht="12.75" x14ac:dyDescent="0.2">
      <c r="A34" s="59">
        <v>1</v>
      </c>
      <c r="B34" s="60" t="s">
        <v>101</v>
      </c>
    </row>
    <row r="35" spans="1:2" ht="12.75" x14ac:dyDescent="0.2">
      <c r="A35" s="61"/>
      <c r="B35" s="18"/>
    </row>
    <row r="38" spans="1:2" ht="15" customHeight="1" thickBot="1" x14ac:dyDescent="0.3">
      <c r="A38" s="102" t="s">
        <v>26</v>
      </c>
      <c r="B38" s="102"/>
    </row>
    <row r="39" spans="1:2" x14ac:dyDescent="0.25">
      <c r="A39" s="23" t="s">
        <v>27</v>
      </c>
      <c r="B39" s="24" t="s">
        <v>35</v>
      </c>
    </row>
    <row r="40" spans="1:2" x14ac:dyDescent="0.25">
      <c r="A40" s="25" t="s">
        <v>28</v>
      </c>
      <c r="B40" s="26" t="s">
        <v>36</v>
      </c>
    </row>
    <row r="41" spans="1:2" x14ac:dyDescent="0.25">
      <c r="A41" s="25" t="s">
        <v>29</v>
      </c>
      <c r="B41" s="26" t="s">
        <v>37</v>
      </c>
    </row>
    <row r="42" spans="1:2" x14ac:dyDescent="0.25">
      <c r="A42" s="25" t="s">
        <v>30</v>
      </c>
      <c r="B42" s="26" t="s">
        <v>38</v>
      </c>
    </row>
    <row r="43" spans="1:2" x14ac:dyDescent="0.25">
      <c r="A43" s="25" t="s">
        <v>31</v>
      </c>
      <c r="B43" s="26" t="s">
        <v>39</v>
      </c>
    </row>
    <row r="44" spans="1:2" x14ac:dyDescent="0.25">
      <c r="A44" s="25" t="s">
        <v>32</v>
      </c>
      <c r="B44" s="26" t="s">
        <v>40</v>
      </c>
    </row>
    <row r="45" spans="1:2" x14ac:dyDescent="0.25">
      <c r="A45" s="25" t="s">
        <v>33</v>
      </c>
      <c r="B45" s="26" t="s">
        <v>41</v>
      </c>
    </row>
    <row r="46" spans="1:2" ht="24" x14ac:dyDescent="0.25">
      <c r="A46" s="25" t="s">
        <v>34</v>
      </c>
      <c r="B46" s="26" t="s">
        <v>42</v>
      </c>
    </row>
    <row r="47" spans="1:2" ht="24" x14ac:dyDescent="0.25">
      <c r="A47" s="25" t="s">
        <v>24</v>
      </c>
      <c r="B47" s="26" t="s">
        <v>43</v>
      </c>
    </row>
    <row r="50" spans="1:4" ht="12.75" customHeight="1" thickBot="1" x14ac:dyDescent="0.3">
      <c r="A50" s="102" t="s">
        <v>69</v>
      </c>
      <c r="B50" s="102"/>
      <c r="C50" s="102"/>
      <c r="D50" s="102"/>
    </row>
    <row r="53" spans="1:4" x14ac:dyDescent="0.25">
      <c r="A53" s="47" t="s">
        <v>64</v>
      </c>
      <c r="B53" s="46" t="s">
        <v>67</v>
      </c>
    </row>
    <row r="55" spans="1:4" ht="24" x14ac:dyDescent="0.25">
      <c r="A55" s="36" t="s">
        <v>12</v>
      </c>
      <c r="B55" s="36" t="s">
        <v>13</v>
      </c>
      <c r="C55" s="36" t="s">
        <v>14</v>
      </c>
      <c r="D55" s="36" t="s">
        <v>15</v>
      </c>
    </row>
    <row r="56" spans="1:4" x14ac:dyDescent="0.25">
      <c r="A56" s="38"/>
      <c r="B56" s="46"/>
      <c r="C56" s="46"/>
      <c r="D56" s="38" t="str">
        <f>IF(OR($A56="", C56=""), "", CONCATENATE("GRANT ", IF(NOT(ISERROR(FIND("H",C56,1))), CONCATENATE("EXECUTE ON XML SCHEMA COLLECTION::",IF(ISERROR(FIND("[",$A56,1)),"[",""), $A56, IF(ISERROR(FIND("]",$A56,1)),"]",""), ".", IF(ISERROR(FIND("[",$B56,1)),"[",""), $B56, IF(ISERROR(FIND("]",$B56,1)),"]","")),IF(NOT(ISERROR(FIND("N",C56,1))), CONCATENATE("SEND ON SERVICE::",IF(ISERROR(FIND("[",$B56,1)),"[",""), $B56, IF(ISERROR(FIND("]",$B56,1)),"]","")),CONCATENATE(LEFT(CONCATENATE(IF(ISERROR(FIND("V",C56,1)),"","RECEIVE, "), IF(ISERROR(FIND("C",C56,1)),"","INSERT, "),IF(ISERROR(FIND("R",C56,1)),"","SELECT, "), IF(ISERROR(FIND("U",C56,1)),"","UPDATE, "),IF(ISERROR(FIND("D",C56,1)),"","DELETE, "), IF(ISERROR(FIND("X",C56,1)),"","EXECUTE, "), IF(ISERROR(FIND("F",C56,1)),"","REFERENCES")),IF(ISERROR(FIND("F",C56,1)), LEN(CONCATENATE(IF(ISERROR(FIND("V",C56,1)),"","RECEIVE, "), IF(ISERROR(FIND("C",C56,1)),"","INSERT, "),IF(ISERROR(FIND("R",C56,1)),"","SELECT, "), IF(ISERROR(FIND("U",C56,1)),"","UPDATE, "),IF(ISERROR(FIND("D",C56,1)),"","DELETE, "), IF(ISERROR(FIND("X",C56,1)),"","EXECUTE, ")))-2,LEN(CONCATENATE(IF(ISERROR(FIND("V",C56,1)),"","RECEIVE, "), IF(ISERROR(FIND("C",C56,1)),"","INSERT, "),IF(ISERROR(FIND("R",C56,1)),"","SELECT, "), IF(ISERROR(FIND("U",C56,1)),"","UPDATE, "),IF(ISERROR(FIND("D",C56,1)),"","DELETE, "), IF(ISERROR(FIND("X",C56,1)),"","EXECUTE, "),IF(ISERROR(FIND("F",C56,1)),"","REFERENCES"))))), " ON ",IF(ISERROR(FIND("[",$A56,1)),"[",""), $A56, IF(ISERROR(FIND("]",$A56,1)),"]",""), ".", IF(ISERROR(FIND("[",$B56,1)),"[",""), $B56, IF(ISERROR(FIND("]",$B56,1)),"]","")))), " TO ", IF(ISERROR(FIND("[",D$8,1)),"[",""), D$8, IF(ISERROR(FIND("]",D$8,1)),"]",""),";" ))</f>
        <v/>
      </c>
    </row>
    <row r="57" spans="1:4" x14ac:dyDescent="0.25">
      <c r="A57" s="14"/>
      <c r="B57" s="14"/>
      <c r="C57" s="14"/>
      <c r="D57" s="45"/>
    </row>
    <row r="59" spans="1:4" x14ac:dyDescent="0.25">
      <c r="A59" s="47" t="s">
        <v>64</v>
      </c>
      <c r="B59" s="46" t="s">
        <v>65</v>
      </c>
    </row>
    <row r="61" spans="1:4" x14ac:dyDescent="0.25">
      <c r="A61" s="98" t="s">
        <v>57</v>
      </c>
      <c r="B61" s="99"/>
      <c r="C61" s="99"/>
      <c r="D61" s="100"/>
    </row>
    <row r="62" spans="1:4" ht="24" x14ac:dyDescent="0.25">
      <c r="A62" s="40" t="s">
        <v>55</v>
      </c>
      <c r="B62" s="49"/>
      <c r="C62" s="37"/>
      <c r="D62" s="37"/>
    </row>
    <row r="63" spans="1:4" ht="24" x14ac:dyDescent="0.25">
      <c r="A63" s="36" t="s">
        <v>18</v>
      </c>
      <c r="B63" s="36" t="s">
        <v>49</v>
      </c>
      <c r="C63" s="36" t="s">
        <v>19</v>
      </c>
      <c r="D63" s="36" t="s">
        <v>60</v>
      </c>
    </row>
    <row r="64" spans="1:4" x14ac:dyDescent="0.25">
      <c r="A64" s="38"/>
      <c r="B64" s="42"/>
      <c r="C64" s="38" t="str">
        <f>IF(A64="", "", CONCATENATE(
"IF NOT EXISTS (SELECT * FROM master.sys.server_principals WHERE sid = SUSER_SID(N'", A64, "')) ", CHAR(10),
"BEGIN ", CHAR(10),
" Declare @logindb nvarchar(132),  @sql varchar(4000); ", CHAR(10),
" SELECT @logindb = N'", $B$16, "'; ", CHAR(10),
" if (@logindb IS NULL OR LTrim(@logindb) = '') OR NOT EXISTS (SELECT * FROM master.dbo.sysdatabases WHERE name = @logindb) ", CHAR(10),
"  SELECT @logindb = N'master'; ", CHAR(10),
IF(OR(B64="SI",B64=""),
 CONCATENATE(" SET @sql = 'CREATE LOGIN [", A64, "] WITH PASSWORD=N''", A64, "'', DEFAULT_DATABASE = ' + @logindb + ', CHECK_EXPIRATION=OFF, CHECK_POLICY=OFF';"),
 CONCATENATE(" SET @sql = 'CREATE LOGIN [", A64, "] FROM WINDOWS WITH DEFAULT_DATABASE = '",  " + @logindb;")),
CHAR(10),
" EXECUTE(@sql); ", CHAR(10),
"END ", CHAR(10),
"GO"))</f>
        <v/>
      </c>
      <c r="D64" s="38"/>
    </row>
    <row r="67" spans="1:5" x14ac:dyDescent="0.25">
      <c r="A67" s="47" t="s">
        <v>64</v>
      </c>
      <c r="B67" s="46" t="s">
        <v>66</v>
      </c>
    </row>
    <row r="69" spans="1:5" x14ac:dyDescent="0.25">
      <c r="A69" s="98" t="s">
        <v>59</v>
      </c>
      <c r="B69" s="99"/>
      <c r="C69" s="99"/>
      <c r="D69" s="99"/>
      <c r="E69" s="100"/>
    </row>
    <row r="70" spans="1:5" ht="24" x14ac:dyDescent="0.25">
      <c r="A70" s="36" t="s">
        <v>20</v>
      </c>
      <c r="B70" s="36" t="s">
        <v>10</v>
      </c>
      <c r="C70" s="36" t="s">
        <v>18</v>
      </c>
      <c r="D70" s="36" t="s">
        <v>21</v>
      </c>
      <c r="E70" s="36" t="s">
        <v>19</v>
      </c>
    </row>
    <row r="71" spans="1:5" x14ac:dyDescent="0.25">
      <c r="A71" s="43"/>
      <c r="B71" s="38"/>
      <c r="C71" s="38"/>
      <c r="D71" s="38"/>
      <c r="E71" s="38" t="str">
        <f>IF(A71="", "", CONCATENATE(
"USE [", A71, "]; ", CHAR(10),
"IF NOT EXISTS (SELECT 1 FROM sys.database_principals WHERE sid = SUSER_SID(N'", B71, "')) ", CHAR(10),
"   AND EXISTS (SELECT 1 FROM master.sys.server_principals WHERE sid = SUSER_SID(N'", IF(C71="", B71, C71), "')) ", CHAR(10),
" CREATE USER [", B71, "] FOR LOGIN [", IF(C71="", B71, C71), "]", CONCATENATE(" WITH DEFAULT_SCHEMA = [", IF(D71="","dbo", D71), "]"), ";", CHAR(10),
"GO"))</f>
        <v/>
      </c>
    </row>
    <row r="74" spans="1:5" x14ac:dyDescent="0.25">
      <c r="A74" s="101" t="s">
        <v>61</v>
      </c>
      <c r="B74" s="101"/>
      <c r="C74" s="101"/>
      <c r="D74" s="101"/>
      <c r="E74" s="101"/>
    </row>
    <row r="75" spans="1:5" ht="24" x14ac:dyDescent="0.25">
      <c r="A75" s="36" t="s">
        <v>20</v>
      </c>
      <c r="B75" s="36" t="s">
        <v>22</v>
      </c>
      <c r="C75" s="36" t="s">
        <v>23</v>
      </c>
      <c r="D75" s="36"/>
      <c r="E75" s="36" t="s">
        <v>19</v>
      </c>
    </row>
    <row r="76" spans="1:5" x14ac:dyDescent="0.25">
      <c r="A76" s="43"/>
      <c r="B76" s="38"/>
      <c r="C76" s="38"/>
      <c r="D76" s="38"/>
      <c r="E76" s="38" t="str">
        <f>IF(A76="", "", CONCATENATE(
"USE [", A76, "]; ", CHAR(10),
"IF NOT EXISTS(SELECT 1 FROM sys.database_principals WHERE name = N'", B76, "' and type = 'R') ", CHAR(10),
" CREATE ROLE [", B76, "] AUTHORIZATION [", IF(C76="", "dbo", C76), "]", ";", CHAR(10),
"GO"))</f>
        <v/>
      </c>
    </row>
    <row r="78" spans="1:5" x14ac:dyDescent="0.25">
      <c r="A78" s="101" t="s">
        <v>68</v>
      </c>
      <c r="B78" s="101"/>
      <c r="C78" s="101"/>
      <c r="D78" s="101"/>
      <c r="E78" s="101"/>
    </row>
    <row r="79" spans="1:5" ht="24" x14ac:dyDescent="0.25">
      <c r="A79" s="36" t="s">
        <v>20</v>
      </c>
      <c r="B79" s="36" t="s">
        <v>22</v>
      </c>
      <c r="C79" s="36" t="s">
        <v>10</v>
      </c>
      <c r="D79" s="36" t="s">
        <v>49</v>
      </c>
      <c r="E79" s="36" t="s">
        <v>19</v>
      </c>
    </row>
    <row r="80" spans="1:5" x14ac:dyDescent="0.25">
      <c r="A80" s="43"/>
      <c r="B80" s="38"/>
      <c r="C80" s="38"/>
      <c r="D80" s="42"/>
      <c r="E80" s="38" t="str">
        <f>IF(A80="", "", CONCATENATE(
"USE [", A80, "]; ", CHAR(10),
"IF EXISTS(SELECT 1 FROM sys.database_principals WHERE name = N'", B80, "' AND type = 'R') ", CHAR(10),
"   AND EXISTS (SELECT 1 FROM sys.database_principals WHERE sid = SUSER_SID(N'", C80, "')) ", CHAR(10),
IF(D80 ="NO", CONCATENATE("   AND (USER_ID (N'", C80, "') IS NOT NULL) ",  CHAR(10)), ""),
" EXEC sp_addrolemember N'", B80, "', N'", C80, "'", ";", CHAR(10),
"GO"))</f>
        <v/>
      </c>
    </row>
  </sheetData>
  <mergeCells count="9">
    <mergeCell ref="A69:E69"/>
    <mergeCell ref="A74:E74"/>
    <mergeCell ref="A78:E78"/>
    <mergeCell ref="A50:D50"/>
    <mergeCell ref="B1:E1"/>
    <mergeCell ref="A38:B38"/>
    <mergeCell ref="A15:B15"/>
    <mergeCell ref="A61:D61"/>
    <mergeCell ref="B9:C9"/>
  </mergeCells>
  <conditionalFormatting sqref="B22:B23">
    <cfRule type="cellIs" dxfId="1" priority="4" operator="equal">
      <formula>"NO"</formula>
    </cfRule>
    <cfRule type="cellIs" dxfId="0" priority="5" operator="equal">
      <formula>"SI"</formula>
    </cfRule>
  </conditionalFormatting>
  <conditionalFormatting sqref="A10">
    <cfRule type="iconSet" priority="3">
      <iconSet showValue="0">
        <cfvo type="percent" val="0"/>
        <cfvo type="num" val="0" gte="0"/>
        <cfvo type="num" val="1"/>
      </iconSet>
    </cfRule>
  </conditionalFormatting>
  <conditionalFormatting sqref="A34">
    <cfRule type="iconSet" priority="2">
      <iconSet showValue="0">
        <cfvo type="percent" val="0"/>
        <cfvo type="num" val="0" gte="0"/>
        <cfvo type="num" val="1"/>
      </iconSet>
    </cfRule>
  </conditionalFormatting>
  <conditionalFormatting sqref="A35">
    <cfRule type="iconSet" priority="1">
      <iconSet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B22:B23 B64 D80">
      <formula1>SI_NO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horizontalDpi="200" verticalDpi="200" r:id="rId1"/>
  <headerFooter>
    <oddFooter>&amp;L&amp;"Arial,Negrita"&amp;9&amp;K00-049Fecha última modificación del formato: 2012-12-05</oddFooter>
  </headerFooter>
  <drawing r:id="rId2"/>
  <legacyDrawing r:id="rId3"/>
  <controls>
    <mc:AlternateContent xmlns:mc="http://schemas.openxmlformats.org/markup-compatibility/2006">
      <mc:Choice Requires="x14">
        <control shapeId="944157" r:id="rId4" name="btnLoginSQL">
          <controlPr defaultSize="0" autoLine="0" r:id="rId5">
            <anchor moveWithCells="1" sizeWithCells="1">
              <from>
                <xdr:col>2</xdr:col>
                <xdr:colOff>447675</xdr:colOff>
                <xdr:row>1</xdr:row>
                <xdr:rowOff>47625</xdr:rowOff>
              </from>
              <to>
                <xdr:col>2</xdr:col>
                <xdr:colOff>1704975</xdr:colOff>
                <xdr:row>3</xdr:row>
                <xdr:rowOff>104775</xdr:rowOff>
              </to>
            </anchor>
          </controlPr>
        </control>
      </mc:Choice>
      <mc:Fallback>
        <control shapeId="944157" r:id="rId4" name="btnLoginSQL"/>
      </mc:Fallback>
    </mc:AlternateContent>
    <mc:AlternateContent xmlns:mc="http://schemas.openxmlformats.org/markup-compatibility/2006">
      <mc:Choice Requires="x14">
        <control shapeId="944129" r:id="rId6" name="btnGenerarHojas">
          <controlPr defaultSize="0" autoLine="0" r:id="rId7">
            <anchor moveWithCells="1" sizeWithCells="1">
              <from>
                <xdr:col>2</xdr:col>
                <xdr:colOff>1819275</xdr:colOff>
                <xdr:row>1</xdr:row>
                <xdr:rowOff>38100</xdr:rowOff>
              </from>
              <to>
                <xdr:col>2</xdr:col>
                <xdr:colOff>3086100</xdr:colOff>
                <xdr:row>3</xdr:row>
                <xdr:rowOff>95250</xdr:rowOff>
              </to>
            </anchor>
          </controlPr>
        </control>
      </mc:Choice>
      <mc:Fallback>
        <control shapeId="944129" r:id="rId6" name="btnGenerarHoj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K13"/>
  <sheetViews>
    <sheetView showGridLines="0" workbookViewId="0">
      <pane xSplit="2" ySplit="8" topLeftCell="C9" activePane="bottomRight" state="frozen"/>
      <selection activeCell="B1" sqref="B1:D1"/>
      <selection pane="topRight" activeCell="B1" sqref="B1:D1"/>
      <selection pane="bottomLeft" activeCell="B1" sqref="B1:D1"/>
      <selection pane="bottomRight" activeCell="D9" sqref="D9"/>
    </sheetView>
  </sheetViews>
  <sheetFormatPr baseColWidth="10" defaultColWidth="11.42578125" defaultRowHeight="12" x14ac:dyDescent="0.2"/>
  <cols>
    <col min="1" max="1" width="20.42578125" style="4" customWidth="1"/>
    <col min="2" max="2" width="30.7109375" style="4" customWidth="1"/>
    <col min="3" max="3" width="15.7109375" style="4" customWidth="1"/>
    <col min="4" max="4" width="33.7109375" style="4" customWidth="1"/>
    <col min="5" max="5" width="18.28515625" style="4" customWidth="1"/>
    <col min="6" max="6" width="37.140625" style="4" bestFit="1" customWidth="1"/>
    <col min="7" max="16384" width="11.42578125" style="4"/>
  </cols>
  <sheetData>
    <row r="1" spans="1:11" s="3" customFormat="1" ht="39" customHeight="1" x14ac:dyDescent="0.25">
      <c r="A1" s="2"/>
      <c r="B1" s="103" t="s">
        <v>114</v>
      </c>
      <c r="C1" s="103"/>
      <c r="D1" s="103"/>
      <c r="E1" s="27"/>
    </row>
    <row r="2" spans="1:11" x14ac:dyDescent="0.2">
      <c r="D2" s="5"/>
      <c r="E2" s="5"/>
    </row>
    <row r="3" spans="1:11" s="11" customFormat="1" ht="15" customHeight="1" x14ac:dyDescent="0.2">
      <c r="A3" s="28" t="s">
        <v>47</v>
      </c>
      <c r="B3" s="105"/>
      <c r="C3" s="105"/>
      <c r="H3" s="12"/>
      <c r="I3" s="12"/>
      <c r="J3" s="12"/>
      <c r="K3" s="1"/>
    </row>
    <row r="4" spans="1:11" s="11" customFormat="1" ht="15" customHeight="1" x14ac:dyDescent="0.2">
      <c r="A4" s="28" t="s">
        <v>11</v>
      </c>
      <c r="B4" s="104"/>
      <c r="C4" s="104"/>
      <c r="H4" s="12"/>
      <c r="I4" s="12"/>
      <c r="J4" s="12"/>
      <c r="K4" s="1"/>
    </row>
    <row r="5" spans="1:11" s="11" customFormat="1" ht="15" customHeight="1" x14ac:dyDescent="0.2">
      <c r="A5" s="28" t="s">
        <v>46</v>
      </c>
      <c r="B5" s="104"/>
      <c r="C5" s="104"/>
      <c r="H5" s="12"/>
      <c r="I5" s="12"/>
      <c r="J5" s="12"/>
      <c r="K5" s="1"/>
    </row>
    <row r="6" spans="1:11" s="11" customFormat="1" ht="12.75" customHeight="1" x14ac:dyDescent="0.2">
      <c r="A6" s="28" t="s">
        <v>9</v>
      </c>
      <c r="B6" s="34"/>
      <c r="H6" s="12"/>
      <c r="I6" s="12"/>
      <c r="J6" s="12"/>
      <c r="K6" s="1"/>
    </row>
    <row r="7" spans="1:11" s="3" customFormat="1" x14ac:dyDescent="0.25">
      <c r="A7" s="6"/>
      <c r="B7" s="9"/>
      <c r="C7" s="8"/>
      <c r="D7" s="10"/>
      <c r="E7" s="10"/>
    </row>
    <row r="8" spans="1:11" ht="24" x14ac:dyDescent="0.25">
      <c r="A8" s="36" t="s">
        <v>12</v>
      </c>
      <c r="B8" s="36" t="s">
        <v>13</v>
      </c>
      <c r="C8" s="36" t="s">
        <v>14</v>
      </c>
      <c r="D8" s="36" t="s">
        <v>15</v>
      </c>
      <c r="E8"/>
    </row>
    <row r="9" spans="1:11" ht="22.5" customHeight="1" x14ac:dyDescent="0.2">
      <c r="A9" s="38"/>
      <c r="B9" s="46"/>
      <c r="C9" s="46"/>
      <c r="D9" s="38" t="str">
        <f>IF(OR($A9="", C9=""), "", CONCATENATE("GRANT ", IF(NOT(ISERROR(FIND("H",C9,1))), CONCATENATE("EXECUTE ON XML SCHEMA COLLECTION::",IF(ISERROR(FIND("[",$A9,1)),"[",""), $A9, IF(ISERROR(FIND("]",$A9,1)),"]",""), ".", IF(ISERROR(FIND("[",$B9,1)),"[",""), $B9, IF(ISERROR(FIND("]",$B9,1)),"]","")),IF(NOT(ISERROR(FIND("N",C9,1))), CONCATENATE("SEND ON SERVICE::",IF(ISERROR(FIND("[",$B9,1)),"[",""), $B9, IF(ISERROR(FIND("]",$B9,1)),"]","")),CONCATENATE(LEFT(CONCATENATE(IF(ISERROR(FIND("V",C9,1)),"","RECEIVE, "), IF(ISERROR(FIND("C",C9,1)),"","INSERT, "),IF(ISERROR(FIND("R",C9,1)),"","SELECT, "), IF(ISERROR(FIND("U",C9,1)),"","UPDATE, "),IF(ISERROR(FIND("D",C9,1)),"","DELETE, "), IF(ISERROR(FIND("X",C9,1)),"","EXECUTE, "), IF(ISERROR(FIND("F",C9,1)),"","REFERENCES")),IF(ISERROR(FIND("F",C9,1)), LEN(CONCATENATE(IF(ISERROR(FIND("V",C9,1)),"","RECEIVE, "), IF(ISERROR(FIND("C",C9,1)),"","INSERT, "),IF(ISERROR(FIND("R",C9,1)),"","SELECT, "), IF(ISERROR(FIND("U",C9,1)),"","UPDATE, "),IF(ISERROR(FIND("D",C9,1)),"","DELETE, "), IF(ISERROR(FIND("X",C9,1)),"","EXECUTE, ")))-2,LEN(CONCATENATE(IF(ISERROR(FIND("V",C9,1)),"","RECEIVE, "), IF(ISERROR(FIND("C",C9,1)),"","INSERT, "),IF(ISERROR(FIND("R",C9,1)),"","SELECT, "), IF(ISERROR(FIND("U",C9,1)),"","UPDATE, "),IF(ISERROR(FIND("D",C9,1)),"","DELETE, "), IF(ISERROR(FIND("X",C9,1)),"","EXECUTE, "),IF(ISERROR(FIND("F",C9,1)),"","REFERENCES"))))), " ON ",IF(ISERROR(FIND("[",$A9,1)),"[",""), $A9, IF(ISERROR(FIND("]",$A9,1)),"]",""), ".", IF(ISERROR(FIND("[",$B9,1)),"[",""), $B9, IF(ISERROR(FIND("]",$B9,1)),"]","")))), " TO ", IF(ISERROR(FIND("[",D$8,1)),"[",""), D$8, IF(ISERROR(FIND("]",D$8,1)),"]",""),";" ))</f>
        <v/>
      </c>
    </row>
    <row r="10" spans="1:11" ht="22.5" customHeight="1" x14ac:dyDescent="0.2">
      <c r="A10" s="46"/>
      <c r="B10" s="46"/>
      <c r="C10" s="46"/>
      <c r="D10" s="38"/>
    </row>
    <row r="11" spans="1:11" ht="22.5" customHeight="1" x14ac:dyDescent="0.2">
      <c r="A11" s="46"/>
      <c r="B11" s="46"/>
      <c r="C11" s="46"/>
      <c r="D11" s="38"/>
    </row>
    <row r="12" spans="1:11" ht="15" x14ac:dyDescent="0.25">
      <c r="A12"/>
      <c r="B12"/>
      <c r="C12"/>
      <c r="D12"/>
    </row>
    <row r="13" spans="1:11" ht="15" x14ac:dyDescent="0.25">
      <c r="A13"/>
      <c r="B13"/>
      <c r="C13"/>
      <c r="D13"/>
    </row>
  </sheetData>
  <mergeCells count="4">
    <mergeCell ref="B1:D1"/>
    <mergeCell ref="B4:C4"/>
    <mergeCell ref="B5:C5"/>
    <mergeCell ref="B3:C3"/>
  </mergeCells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K72"/>
  <sheetViews>
    <sheetView showGridLines="0" workbookViewId="0">
      <selection activeCell="B1" sqref="B1:D1"/>
    </sheetView>
  </sheetViews>
  <sheetFormatPr baseColWidth="10" defaultColWidth="11.42578125" defaultRowHeight="12" x14ac:dyDescent="0.2"/>
  <cols>
    <col min="1" max="1" width="20.5703125" style="4" customWidth="1"/>
    <col min="2" max="2" width="26.7109375" style="4" customWidth="1"/>
    <col min="3" max="3" width="76.85546875" style="4" customWidth="1"/>
    <col min="4" max="4" width="24" style="4" customWidth="1"/>
    <col min="5" max="5" width="10.7109375" style="4" customWidth="1"/>
    <col min="6" max="6" width="12.42578125" style="4" customWidth="1"/>
    <col min="7" max="16384" width="11.42578125" style="4"/>
  </cols>
  <sheetData>
    <row r="1" spans="1:11" s="3" customFormat="1" ht="41.25" customHeight="1" x14ac:dyDescent="0.25">
      <c r="A1" s="2"/>
      <c r="B1" s="103" t="s">
        <v>113</v>
      </c>
      <c r="C1" s="103"/>
      <c r="D1" s="103"/>
      <c r="E1" s="27"/>
    </row>
    <row r="2" spans="1:11" x14ac:dyDescent="0.2">
      <c r="D2" s="5"/>
      <c r="E2" s="5"/>
    </row>
    <row r="3" spans="1:11" s="11" customFormat="1" ht="15" customHeight="1" x14ac:dyDescent="0.2">
      <c r="A3" s="28" t="s">
        <v>47</v>
      </c>
      <c r="B3" s="105"/>
      <c r="C3" s="105"/>
      <c r="H3" s="12"/>
      <c r="I3" s="12"/>
      <c r="J3" s="12"/>
      <c r="K3" s="1"/>
    </row>
    <row r="4" spans="1:11" s="11" customFormat="1" ht="15" customHeight="1" x14ac:dyDescent="0.2">
      <c r="A4" s="28" t="s">
        <v>11</v>
      </c>
      <c r="B4" s="104"/>
      <c r="C4" s="104"/>
      <c r="H4" s="12"/>
      <c r="I4" s="12"/>
      <c r="J4" s="12"/>
      <c r="K4" s="1"/>
    </row>
    <row r="5" spans="1:11" s="11" customFormat="1" ht="12.75" customHeight="1" x14ac:dyDescent="0.2">
      <c r="A5" s="28" t="s">
        <v>9</v>
      </c>
      <c r="B5" s="34"/>
      <c r="H5" s="12"/>
      <c r="I5" s="12"/>
      <c r="J5" s="12"/>
      <c r="K5" s="1"/>
    </row>
    <row r="6" spans="1:11" s="11" customFormat="1" ht="12.75" customHeight="1" x14ac:dyDescent="0.2">
      <c r="A6" s="41"/>
      <c r="B6" s="35"/>
      <c r="H6" s="12"/>
      <c r="I6" s="12"/>
      <c r="J6" s="12"/>
      <c r="K6" s="1"/>
    </row>
    <row r="7" spans="1:11" ht="12" customHeight="1" x14ac:dyDescent="0.2">
      <c r="A7" s="98" t="s">
        <v>71</v>
      </c>
      <c r="B7" s="99"/>
      <c r="C7" s="99"/>
      <c r="D7" s="100"/>
    </row>
    <row r="8" spans="1:11" x14ac:dyDescent="0.2">
      <c r="A8" s="36" t="s">
        <v>72</v>
      </c>
      <c r="B8" s="36" t="s">
        <v>73</v>
      </c>
      <c r="C8" s="36" t="s">
        <v>60</v>
      </c>
      <c r="D8" s="36" t="s">
        <v>74</v>
      </c>
    </row>
    <row r="9" spans="1:11" x14ac:dyDescent="0.2">
      <c r="A9" s="43"/>
      <c r="B9" s="38"/>
      <c r="C9" s="38"/>
      <c r="D9" s="50"/>
    </row>
    <row r="10" spans="1:11" x14ac:dyDescent="0.2">
      <c r="A10" s="43"/>
      <c r="B10" s="38"/>
      <c r="C10" s="38"/>
      <c r="D10" s="50"/>
    </row>
    <row r="11" spans="1:11" x14ac:dyDescent="0.2">
      <c r="A11" s="43"/>
      <c r="B11" s="38"/>
      <c r="C11" s="38"/>
      <c r="D11" s="50"/>
    </row>
    <row r="12" spans="1:11" x14ac:dyDescent="0.2">
      <c r="A12" s="43"/>
      <c r="B12" s="38"/>
      <c r="C12" s="38"/>
      <c r="D12" s="50"/>
    </row>
    <row r="13" spans="1:11" x14ac:dyDescent="0.2">
      <c r="A13" s="43"/>
      <c r="B13" s="38"/>
      <c r="C13" s="38"/>
      <c r="D13" s="50"/>
    </row>
    <row r="14" spans="1:11" x14ac:dyDescent="0.2">
      <c r="A14" s="43"/>
      <c r="B14" s="38"/>
      <c r="C14" s="38"/>
      <c r="D14" s="50"/>
    </row>
    <row r="15" spans="1:11" x14ac:dyDescent="0.2">
      <c r="A15" s="43"/>
      <c r="B15" s="38"/>
      <c r="C15" s="38"/>
      <c r="D15" s="50"/>
    </row>
    <row r="16" spans="1:11" x14ac:dyDescent="0.2">
      <c r="A16" s="43"/>
      <c r="B16" s="38"/>
      <c r="C16" s="38"/>
      <c r="D16" s="50"/>
    </row>
    <row r="17" spans="1:11" x14ac:dyDescent="0.2">
      <c r="A17" s="43"/>
      <c r="B17" s="38"/>
      <c r="C17" s="38"/>
      <c r="D17" s="50"/>
    </row>
    <row r="18" spans="1:11" x14ac:dyDescent="0.2">
      <c r="A18" s="43"/>
      <c r="B18" s="38"/>
      <c r="C18" s="38"/>
      <c r="D18" s="50"/>
    </row>
    <row r="19" spans="1:11" x14ac:dyDescent="0.2">
      <c r="A19" s="43"/>
      <c r="B19" s="38"/>
      <c r="C19" s="38"/>
      <c r="D19" s="50"/>
    </row>
    <row r="20" spans="1:11" x14ac:dyDescent="0.2">
      <c r="A20" s="43"/>
      <c r="B20" s="38"/>
      <c r="C20" s="38"/>
      <c r="D20" s="50"/>
    </row>
    <row r="21" spans="1:11" x14ac:dyDescent="0.2">
      <c r="A21" s="43"/>
      <c r="B21" s="38"/>
      <c r="C21" s="38"/>
      <c r="D21" s="50"/>
    </row>
    <row r="22" spans="1:11" x14ac:dyDescent="0.2">
      <c r="A22" s="43"/>
      <c r="B22" s="38"/>
      <c r="C22" s="38"/>
      <c r="D22" s="50"/>
    </row>
    <row r="23" spans="1:11" x14ac:dyDescent="0.2">
      <c r="A23" s="43"/>
      <c r="B23" s="38"/>
      <c r="C23" s="38"/>
      <c r="D23" s="50"/>
    </row>
    <row r="24" spans="1:11" x14ac:dyDescent="0.2">
      <c r="A24" s="43"/>
      <c r="B24" s="38"/>
      <c r="C24" s="38"/>
      <c r="D24" s="50"/>
    </row>
    <row r="27" spans="1:11" s="11" customFormat="1" ht="27.75" customHeight="1" x14ac:dyDescent="0.2">
      <c r="A27" s="98" t="s">
        <v>58</v>
      </c>
      <c r="B27" s="100"/>
      <c r="H27" s="12"/>
      <c r="I27" s="12"/>
      <c r="J27" s="12"/>
      <c r="K27" s="1"/>
    </row>
    <row r="28" spans="1:11" s="11" customFormat="1" ht="12.75" customHeight="1" x14ac:dyDescent="0.2">
      <c r="A28" s="39" t="s">
        <v>50</v>
      </c>
      <c r="B28" s="38"/>
      <c r="H28" s="12"/>
      <c r="I28" s="12"/>
      <c r="J28" s="12"/>
      <c r="K28" s="1"/>
    </row>
    <row r="29" spans="1:11" s="11" customFormat="1" ht="12.75" customHeight="1" x14ac:dyDescent="0.2">
      <c r="A29" s="39" t="s">
        <v>51</v>
      </c>
      <c r="B29" s="38"/>
      <c r="H29" s="12"/>
      <c r="I29" s="12"/>
      <c r="J29" s="12"/>
      <c r="K29" s="1"/>
    </row>
    <row r="30" spans="1:11" s="11" customFormat="1" ht="12.75" customHeight="1" x14ac:dyDescent="0.2">
      <c r="A30" s="39" t="s">
        <v>52</v>
      </c>
      <c r="B30" s="38"/>
      <c r="H30" s="12"/>
      <c r="I30" s="12"/>
      <c r="J30" s="12"/>
      <c r="K30" s="1"/>
    </row>
    <row r="31" spans="1:11" s="11" customFormat="1" ht="12.75" customHeight="1" x14ac:dyDescent="0.2">
      <c r="A31" s="39" t="s">
        <v>53</v>
      </c>
      <c r="B31" s="38" t="s">
        <v>56</v>
      </c>
      <c r="H31" s="12"/>
      <c r="I31" s="12"/>
      <c r="J31" s="12"/>
      <c r="K31" s="1"/>
    </row>
    <row r="32" spans="1:11" s="11" customFormat="1" ht="12.75" customHeight="1" x14ac:dyDescent="0.2">
      <c r="A32" s="39" t="s">
        <v>54</v>
      </c>
      <c r="B32" s="38"/>
      <c r="H32" s="12"/>
      <c r="I32" s="12"/>
      <c r="J32" s="12"/>
      <c r="K32" s="1"/>
    </row>
    <row r="33" spans="1:11" s="11" customFormat="1" ht="12.75" customHeight="1" x14ac:dyDescent="0.2">
      <c r="A33" s="41"/>
      <c r="B33" s="35"/>
      <c r="H33" s="12"/>
      <c r="I33" s="12"/>
      <c r="J33" s="12"/>
      <c r="K33" s="1"/>
    </row>
    <row r="34" spans="1:11" s="11" customFormat="1" ht="12.75" customHeight="1" x14ac:dyDescent="0.2">
      <c r="A34" s="41"/>
      <c r="B34" s="35"/>
      <c r="H34" s="12"/>
      <c r="I34" s="12"/>
      <c r="J34" s="12"/>
      <c r="K34" s="1"/>
    </row>
    <row r="35" spans="1:11" s="11" customFormat="1" ht="15.75" customHeight="1" x14ac:dyDescent="0.2">
      <c r="A35" s="98" t="s">
        <v>57</v>
      </c>
      <c r="B35" s="99"/>
      <c r="C35" s="99"/>
      <c r="D35" s="100"/>
      <c r="G35" s="12"/>
      <c r="H35" s="12"/>
      <c r="I35" s="12"/>
      <c r="J35" s="12"/>
      <c r="K35" s="1"/>
    </row>
    <row r="36" spans="1:11" s="3" customFormat="1" ht="24" x14ac:dyDescent="0.25">
      <c r="A36" s="40" t="s">
        <v>55</v>
      </c>
      <c r="B36" s="49"/>
      <c r="C36" s="37"/>
      <c r="D36" s="37"/>
    </row>
    <row r="37" spans="1:11" ht="24" x14ac:dyDescent="0.2">
      <c r="A37" s="36" t="s">
        <v>18</v>
      </c>
      <c r="B37" s="36" t="s">
        <v>49</v>
      </c>
      <c r="C37" s="36" t="s">
        <v>19</v>
      </c>
      <c r="D37" s="36" t="s">
        <v>74</v>
      </c>
    </row>
    <row r="38" spans="1:11" ht="47.25" customHeight="1" x14ac:dyDescent="0.2">
      <c r="A38" s="38"/>
      <c r="B38" s="42"/>
      <c r="C38" s="38" t="str">
        <f t="shared" ref="C38:C52" si="0">IF(A38="", "", CONCATENATE(
"IF NOT EXISTS (SELECT * FROM master.sys.server_principals WHERE sid = SUSER_SID(N'", A38, "')) ", CHAR(10),
"BEGIN ", CHAR(10),
" Declare @logindb nvarchar(132),  @sql varchar(4000); ", CHAR(10),
" SELECT @logindb = N'", $B$36, "'; ", CHAR(10),
" if (@logindb IS NULL OR LTrim(@logindb) = '') OR NOT EXISTS (SELECT * FROM master.dbo.sysdatabases WHERE name = @logindb) ", CHAR(10),
"  SELECT @logindb = N'master'; ", CHAR(10),
IF(OR(B38="SI",B38=""),
 CONCATENATE(" SET @sql = 'CREATE LOGIN [", A38, "] WITH PASSWORD=N''", A38, "'', DEFAULT_DATABASE = ' + @logindb + ', CHECK_EXPIRATION=OFF, CHECK_POLICY=OFF';"),
 CONCATENATE(" SET @sql = 'CREATE LOGIN [", A38, "] FROM WINDOWS WITH DEFAULT_DATABASE = '",  " + @logindb;")),
CHAR(10),
" EXECUTE(@sql); ", CHAR(10),
"END ", CHAR(10),
"GO"))</f>
        <v/>
      </c>
      <c r="D38" s="38"/>
    </row>
    <row r="39" spans="1:11" x14ac:dyDescent="0.2">
      <c r="A39" s="38"/>
      <c r="B39" s="42"/>
      <c r="C39" s="38" t="str">
        <f t="shared" si="0"/>
        <v/>
      </c>
      <c r="D39" s="38"/>
    </row>
    <row r="40" spans="1:11" x14ac:dyDescent="0.2">
      <c r="A40" s="38"/>
      <c r="B40" s="42"/>
      <c r="C40" s="38" t="str">
        <f t="shared" si="0"/>
        <v/>
      </c>
      <c r="D40" s="38"/>
    </row>
    <row r="41" spans="1:11" x14ac:dyDescent="0.2">
      <c r="A41" s="38"/>
      <c r="B41" s="42"/>
      <c r="C41" s="38" t="str">
        <f t="shared" si="0"/>
        <v/>
      </c>
      <c r="D41" s="38"/>
    </row>
    <row r="42" spans="1:11" x14ac:dyDescent="0.2">
      <c r="A42" s="38"/>
      <c r="B42" s="42"/>
      <c r="C42" s="38" t="str">
        <f t="shared" si="0"/>
        <v/>
      </c>
      <c r="D42" s="38"/>
    </row>
    <row r="43" spans="1:11" x14ac:dyDescent="0.2">
      <c r="A43" s="38"/>
      <c r="B43" s="42"/>
      <c r="C43" s="38" t="str">
        <f t="shared" si="0"/>
        <v/>
      </c>
      <c r="D43" s="38"/>
    </row>
    <row r="44" spans="1:11" x14ac:dyDescent="0.2">
      <c r="A44" s="38"/>
      <c r="B44" s="42"/>
      <c r="C44" s="38" t="str">
        <f t="shared" si="0"/>
        <v/>
      </c>
      <c r="D44" s="38" t="str">
        <f>IF($A44="", "", CONCATENATE(
"IF NOT EXISTS (SELECT * from master.dbo.syslogins where loginname = N'", $A44, "') ", CHAR(10),
"BEGIN ", CHAR(10),
" Declare @logindb nvarchar(132), @loginlang nvarchar(132), @sql varchar(4000) ", CHAR(10),
" SELECT @logindb = N'",#REF!, "' ", CHAR(10),
" if @logindb is null or not exists (SELECT * from master.dbo.sysdatabases where name = @logindb) ", CHAR(10),
"  SELECT @logindb = N'master'; ", CHAR(10),
IF($C44="SI",
 CONCATENATE(" SET @sql = 'CREATE LOGIN [", $A44, "] WITH PASSWORD=N''", $B44, "'', DEFAULT_DATABASE = ' + @logindb + ', CHECK_EXPIRATION=OFF, CHECK_POLICY=OFF';"),
 CONCATENATE(" SET @sql = 'CREATE LOGIN [", $A44, "] FROM WINDOWS WITH DEFAULT_DATABASE = [ + @logindb + ];")),
CHAR(10),
" EXECUTE(@sql); ", CHAR(10),
"END ", CHAR(10),
"GO"))</f>
        <v/>
      </c>
    </row>
    <row r="45" spans="1:11" x14ac:dyDescent="0.2">
      <c r="A45" s="38"/>
      <c r="B45" s="42"/>
      <c r="C45" s="38" t="str">
        <f t="shared" si="0"/>
        <v/>
      </c>
      <c r="D45" s="38" t="str">
        <f>IF($A45="", "", CONCATENATE(
"IF NOT EXISTS (SELECT * from master.dbo.syslogins where loginname = N'", $A45, "') ", CHAR(10),
"BEGIN ", CHAR(10),
" Declare @logindb nvarchar(132), @loginlang nvarchar(132), @sql varchar(4000) ", CHAR(10),
" SELECT @logindb = N'",#REF!, "' ", CHAR(10),
" if @logindb is null or not exists (SELECT * from master.dbo.sysdatabases where name = @logindb) ", CHAR(10),
"  SELECT @logindb = N'master'; ", CHAR(10),
IF($C45="SI",
 CONCATENATE(" SET @sql = 'CREATE LOGIN [", $A45, "] WITH PASSWORD=N''", $B45, "'', DEFAULT_DATABASE = ' + @logindb + ', CHECK_EXPIRATION=OFF, CHECK_POLICY=OFF';"),
 CONCATENATE(" SET @sql = 'CREATE LOGIN [", $A45, "] FROM WINDOWS WITH DEFAULT_DATABASE = [ + @logindb + ];")),
CHAR(10),
" EXECUTE(@sql); ", CHAR(10),
"END ", CHAR(10),
"GO"))</f>
        <v/>
      </c>
    </row>
    <row r="46" spans="1:11" x14ac:dyDescent="0.2">
      <c r="A46" s="38"/>
      <c r="B46" s="42"/>
      <c r="C46" s="38" t="str">
        <f t="shared" si="0"/>
        <v/>
      </c>
      <c r="D46" s="38" t="str">
        <f>IF($A46="", "", CONCATENATE(
"IF NOT EXISTS (SELECT * from master.dbo.syslogins where loginname = N'", $A46, "') ", CHAR(10),
"BEGIN ", CHAR(10),
" Declare @logindb nvarchar(132), @loginlang nvarchar(132), @sql varchar(4000) ", CHAR(10),
" SELECT @logindb = N'",#REF!, "' ", CHAR(10),
" if @logindb is null or not exists (SELECT * from master.dbo.sysdatabases where name = @logindb) ", CHAR(10),
"  SELECT @logindb = N'master'; ", CHAR(10),
IF($C46="SI",
 CONCATENATE(" SET @sql = 'CREATE LOGIN [", $A46, "] WITH PASSWORD=N''", $B46, "'', DEFAULT_DATABASE = ' + @logindb + ', CHECK_EXPIRATION=OFF, CHECK_POLICY=OFF';"),
 CONCATENATE(" SET @sql = 'CREATE LOGIN [", $A46, "] FROM WINDOWS WITH DEFAULT_DATABASE = [ + @logindb + ];")),
CHAR(10),
" EXECUTE(@sql); ", CHAR(10),
"END ", CHAR(10),
"GO"))</f>
        <v/>
      </c>
    </row>
    <row r="47" spans="1:11" x14ac:dyDescent="0.2">
      <c r="A47" s="38"/>
      <c r="B47" s="42"/>
      <c r="C47" s="38" t="str">
        <f t="shared" si="0"/>
        <v/>
      </c>
      <c r="D47" s="38" t="str">
        <f>IF($A47="", "", CONCATENATE(
"IF NOT EXISTS (SELECT * from master.dbo.syslogins where loginname = N'", $A47, "') ", CHAR(10),
"BEGIN ", CHAR(10),
" Declare @logindb nvarchar(132), @loginlang nvarchar(132), @sql varchar(4000) ", CHAR(10),
" SELECT @logindb = N'",#REF!, "' ", CHAR(10),
" if @logindb is null or not exists (SELECT * from master.dbo.sysdatabases where name = @logindb) ", CHAR(10),
"  SELECT @logindb = N'master'; ", CHAR(10),
IF($C47="SI",
 CONCATENATE(" SET @sql = 'CREATE LOGIN [", $A47, "] WITH PASSWORD=N''", $B47, "'', DEFAULT_DATABASE = ' + @logindb + ', CHECK_EXPIRATION=OFF, CHECK_POLICY=OFF';"),
 CONCATENATE(" SET @sql = 'CREATE LOGIN [", $A47, "] FROM WINDOWS WITH DEFAULT_DATABASE = [ + @logindb + ];")),
CHAR(10),
" EXECUTE(@sql); ", CHAR(10),
"END ", CHAR(10),
"GO"))</f>
        <v/>
      </c>
    </row>
    <row r="48" spans="1:11" x14ac:dyDescent="0.2">
      <c r="A48" s="38"/>
      <c r="B48" s="42"/>
      <c r="C48" s="38" t="str">
        <f t="shared" si="0"/>
        <v/>
      </c>
      <c r="D48" s="38" t="str">
        <f>IF($A48="", "", CONCATENATE(
"IF NOT EXISTS (SELECT * from master.dbo.syslogins where loginname = N'", $A48, "') ", CHAR(10),
"BEGIN ", CHAR(10),
" Declare @logindb nvarchar(132), @loginlang nvarchar(132), @sql varchar(4000) ", CHAR(10),
" SELECT @logindb = N'",#REF!, "' ", CHAR(10),
" if @logindb is null or not exists (SELECT * from master.dbo.sysdatabases where name = @logindb) ", CHAR(10),
"  SELECT @logindb = N'master'; ", CHAR(10),
IF($C48="SI",
 CONCATENATE(" SET @sql = 'CREATE LOGIN [", $A48, "] WITH PASSWORD=N''", $B48, "'', DEFAULT_DATABASE = ' + @logindb + ', CHECK_EXPIRATION=OFF, CHECK_POLICY=OFF';"),
 CONCATENATE(" SET @sql = 'CREATE LOGIN [", $A48, "] FROM WINDOWS WITH DEFAULT_DATABASE = [ + @logindb + ];")),
CHAR(10),
" EXECUTE(@sql); ", CHAR(10),
"END ", CHAR(10),
"GO"))</f>
        <v/>
      </c>
    </row>
    <row r="49" spans="1:4" x14ac:dyDescent="0.2">
      <c r="A49" s="38"/>
      <c r="B49" s="42"/>
      <c r="C49" s="38" t="str">
        <f t="shared" si="0"/>
        <v/>
      </c>
      <c r="D49" s="38" t="str">
        <f>IF($A49="", "", CONCATENATE(
"IF NOT EXISTS (SELECT * from master.dbo.syslogins where loginname = N'", $A49, "') ", CHAR(10),
"BEGIN ", CHAR(10),
" Declare @logindb nvarchar(132), @loginlang nvarchar(132), @sql varchar(4000) ", CHAR(10),
" SELECT @logindb = N'",#REF!, "' ", CHAR(10),
" if @logindb is null or not exists (SELECT * from master.dbo.sysdatabases where name = @logindb) ", CHAR(10),
"  SELECT @logindb = N'master'; ", CHAR(10),
IF($C49="SI",
 CONCATENATE(" SET @sql = 'CREATE LOGIN [", $A49, "] WITH PASSWORD=N''", $B49, "'', DEFAULT_DATABASE = ' + @logindb + ', CHECK_EXPIRATION=OFF, CHECK_POLICY=OFF';"),
 CONCATENATE(" SET @sql = 'CREATE LOGIN [", $A49, "] FROM WINDOWS WITH DEFAULT_DATABASE = [ + @logindb + ];")),
CHAR(10),
" EXECUTE(@sql); ", CHAR(10),
"END ", CHAR(10),
"GO"))</f>
        <v/>
      </c>
    </row>
    <row r="50" spans="1:4" x14ac:dyDescent="0.2">
      <c r="A50" s="38"/>
      <c r="B50" s="42"/>
      <c r="C50" s="38" t="str">
        <f t="shared" si="0"/>
        <v/>
      </c>
      <c r="D50" s="38" t="str">
        <f>IF($A50="", "", CONCATENATE(
"IF NOT EXISTS (SELECT * from master.dbo.syslogins where loginname = N'", $A50, "') ", CHAR(10),
"BEGIN ", CHAR(10),
" Declare @logindb nvarchar(132), @loginlang nvarchar(132), @sql varchar(4000) ", CHAR(10),
" SELECT @logindb = N'",#REF!, "' ", CHAR(10),
" if @logindb is null or not exists (SELECT * from master.dbo.sysdatabases where name = @logindb) ", CHAR(10),
"  SELECT @logindb = N'master'; ", CHAR(10),
IF($C50="SI",
 CONCATENATE(" SET @sql = 'CREATE LOGIN [", $A50, "] WITH PASSWORD=N''", $B50, "'', DEFAULT_DATABASE = ' + @logindb + ', CHECK_EXPIRATION=OFF, CHECK_POLICY=OFF';"),
 CONCATENATE(" SET @sql = 'CREATE LOGIN [", $A50, "] FROM WINDOWS WITH DEFAULT_DATABASE = [ + @logindb + ];")),
CHAR(10),
" EXECUTE(@sql); ", CHAR(10),
"END ", CHAR(10),
"GO"))</f>
        <v/>
      </c>
    </row>
    <row r="51" spans="1:4" x14ac:dyDescent="0.2">
      <c r="A51" s="38"/>
      <c r="B51" s="42"/>
      <c r="C51" s="38" t="str">
        <f t="shared" si="0"/>
        <v/>
      </c>
      <c r="D51" s="38" t="str">
        <f>IF($A51="", "", CONCATENATE(
"IF NOT EXISTS (SELECT * from master.dbo.syslogins where loginname = N'", $A51, "') ", CHAR(10),
"BEGIN ", CHAR(10),
" Declare @logindb nvarchar(132), @loginlang nvarchar(132), @sql varchar(4000) ", CHAR(10),
" SELECT @logindb = N'",#REF!, "' ", CHAR(10),
" if @logindb is null or not exists (SELECT * from master.dbo.sysdatabases where name = @logindb) ", CHAR(10),
"  SELECT @logindb = N'master'; ", CHAR(10),
IF($C51="SI",
 CONCATENATE(" SET @sql = 'CREATE LOGIN [", $A51, "] WITH PASSWORD=N''", $B51, "'', DEFAULT_DATABASE = ' + @logindb + ', CHECK_EXPIRATION=OFF, CHECK_POLICY=OFF';"),
 CONCATENATE(" SET @sql = 'CREATE LOGIN [", $A51, "] FROM WINDOWS WITH DEFAULT_DATABASE = [ + @logindb + ];")),
CHAR(10),
" EXECUTE(@sql); ", CHAR(10),
"END ", CHAR(10),
"GO"))</f>
        <v/>
      </c>
    </row>
    <row r="52" spans="1:4" x14ac:dyDescent="0.2">
      <c r="A52" s="38"/>
      <c r="B52" s="42"/>
      <c r="C52" s="38" t="str">
        <f t="shared" si="0"/>
        <v/>
      </c>
      <c r="D52" s="38" t="str">
        <f>IF($A52="", "", CONCATENATE(
"IF NOT EXISTS (SELECT * from master.dbo.syslogins where loginname = N'", $A52, "') ", CHAR(10),
"BEGIN ", CHAR(10),
" Declare @logindb nvarchar(132), @loginlang nvarchar(132), @sql varchar(4000) ", CHAR(10),
" SELECT @logindb = N'",#REF!, "' ", CHAR(10),
" if @logindb is null or not exists (SELECT * from master.dbo.sysdatabases where name = @logindb) ", CHAR(10),
"  SELECT @logindb = N'master'; ", CHAR(10),
IF($C52="SI",
 CONCATENATE(" SET @sql = 'CREATE LOGIN [", $A52, "] WITH PASSWORD=N''", $B52, "'', DEFAULT_DATABASE = ' + @logindb + ', CHECK_EXPIRATION=OFF, CHECK_POLICY=OFF';"),
 CONCATENATE(" SET @sql = 'CREATE LOGIN [", $A52, "] FROM WINDOWS WITH DEFAULT_DATABASE = [ + @logindb + ];")),
CHAR(10),
" EXECUTE(@sql); ", CHAR(10),
"END ", CHAR(10),
"GO"))</f>
        <v/>
      </c>
    </row>
    <row r="55" spans="1:4" x14ac:dyDescent="0.2">
      <c r="A55" s="106" t="s">
        <v>75</v>
      </c>
      <c r="B55" s="107"/>
      <c r="C55" s="108"/>
    </row>
    <row r="56" spans="1:4" x14ac:dyDescent="0.2">
      <c r="A56" s="51" t="s">
        <v>76</v>
      </c>
      <c r="B56" s="51" t="s">
        <v>72</v>
      </c>
      <c r="C56" s="51" t="s">
        <v>74</v>
      </c>
    </row>
    <row r="57" spans="1:4" x14ac:dyDescent="0.2">
      <c r="A57" s="43"/>
      <c r="B57" s="38"/>
      <c r="C57" s="38"/>
    </row>
    <row r="58" spans="1:4" x14ac:dyDescent="0.2">
      <c r="A58" s="43"/>
      <c r="B58" s="38"/>
      <c r="C58" s="38"/>
    </row>
    <row r="59" spans="1:4" x14ac:dyDescent="0.2">
      <c r="A59" s="43"/>
      <c r="B59" s="38"/>
      <c r="C59" s="38"/>
    </row>
    <row r="60" spans="1:4" x14ac:dyDescent="0.2">
      <c r="A60" s="43"/>
      <c r="B60" s="38"/>
      <c r="C60" s="38"/>
    </row>
    <row r="61" spans="1:4" x14ac:dyDescent="0.2">
      <c r="A61" s="43"/>
      <c r="B61" s="38"/>
      <c r="C61" s="38"/>
    </row>
    <row r="62" spans="1:4" x14ac:dyDescent="0.2">
      <c r="A62" s="43"/>
      <c r="B62" s="38"/>
      <c r="C62" s="38"/>
    </row>
    <row r="63" spans="1:4" x14ac:dyDescent="0.2">
      <c r="A63" s="43"/>
      <c r="B63" s="38"/>
      <c r="C63" s="38"/>
    </row>
    <row r="64" spans="1:4" x14ac:dyDescent="0.2">
      <c r="A64" s="43"/>
      <c r="B64" s="38"/>
      <c r="C64" s="38"/>
    </row>
    <row r="65" spans="1:3" x14ac:dyDescent="0.2">
      <c r="A65" s="43"/>
      <c r="B65" s="38"/>
      <c r="C65" s="38"/>
    </row>
    <row r="66" spans="1:3" x14ac:dyDescent="0.2">
      <c r="A66" s="43"/>
      <c r="B66" s="38"/>
      <c r="C66" s="38"/>
    </row>
    <row r="67" spans="1:3" x14ac:dyDescent="0.2">
      <c r="A67" s="43"/>
      <c r="B67" s="38"/>
      <c r="C67" s="38"/>
    </row>
    <row r="68" spans="1:3" x14ac:dyDescent="0.2">
      <c r="A68" s="43"/>
      <c r="B68" s="38"/>
      <c r="C68" s="38"/>
    </row>
    <row r="69" spans="1:3" x14ac:dyDescent="0.2">
      <c r="A69" s="43"/>
      <c r="B69" s="38"/>
      <c r="C69" s="38"/>
    </row>
    <row r="70" spans="1:3" x14ac:dyDescent="0.2">
      <c r="A70" s="43"/>
      <c r="B70" s="38"/>
      <c r="C70" s="38"/>
    </row>
    <row r="71" spans="1:3" x14ac:dyDescent="0.2">
      <c r="A71" s="43"/>
      <c r="B71" s="38"/>
      <c r="C71" s="38"/>
    </row>
    <row r="72" spans="1:3" x14ac:dyDescent="0.2">
      <c r="A72" s="43"/>
      <c r="B72" s="38"/>
      <c r="C72" s="38"/>
    </row>
  </sheetData>
  <mergeCells count="7">
    <mergeCell ref="A27:B27"/>
    <mergeCell ref="A35:D35"/>
    <mergeCell ref="A55:C55"/>
    <mergeCell ref="B1:D1"/>
    <mergeCell ref="B3:C3"/>
    <mergeCell ref="B4:C4"/>
    <mergeCell ref="A7:D7"/>
  </mergeCells>
  <dataValidations count="1">
    <dataValidation type="list" allowBlank="1" showInputMessage="1" showErrorMessage="1" sqref="B38:B52">
      <formula1>SI_NO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K42"/>
  <sheetViews>
    <sheetView showGridLines="0" workbookViewId="0">
      <selection activeCell="B1" sqref="B1:D1"/>
    </sheetView>
  </sheetViews>
  <sheetFormatPr baseColWidth="10" defaultColWidth="11.42578125" defaultRowHeight="12" x14ac:dyDescent="0.2"/>
  <cols>
    <col min="1" max="1" width="20.5703125" style="4" customWidth="1"/>
    <col min="2" max="2" width="22.7109375" style="4" customWidth="1"/>
    <col min="3" max="3" width="18.28515625" style="4" customWidth="1"/>
    <col min="4" max="4" width="15.7109375" style="4" customWidth="1"/>
    <col min="5" max="5" width="53.42578125" style="4" customWidth="1"/>
    <col min="6" max="6" width="5.85546875" style="4" customWidth="1"/>
    <col min="7" max="7" width="37.140625" style="4" bestFit="1" customWidth="1"/>
    <col min="8" max="16384" width="11.42578125" style="4"/>
  </cols>
  <sheetData>
    <row r="1" spans="1:11" s="3" customFormat="1" ht="41.25" customHeight="1" x14ac:dyDescent="0.25">
      <c r="A1" s="2"/>
      <c r="B1" s="103" t="s">
        <v>115</v>
      </c>
      <c r="C1" s="103"/>
      <c r="D1" s="103"/>
      <c r="E1" s="27"/>
      <c r="F1" s="27"/>
    </row>
    <row r="2" spans="1:11" x14ac:dyDescent="0.2">
      <c r="F2" s="5"/>
    </row>
    <row r="3" spans="1:11" s="11" customFormat="1" ht="15" customHeight="1" x14ac:dyDescent="0.2">
      <c r="A3" s="28" t="s">
        <v>47</v>
      </c>
      <c r="B3" s="105"/>
      <c r="C3" s="105"/>
      <c r="H3" s="12"/>
      <c r="I3" s="12"/>
      <c r="J3" s="12"/>
      <c r="K3" s="1"/>
    </row>
    <row r="4" spans="1:11" s="11" customFormat="1" ht="15" customHeight="1" x14ac:dyDescent="0.2">
      <c r="A4" s="28" t="s">
        <v>11</v>
      </c>
      <c r="B4" s="104"/>
      <c r="C4" s="104"/>
      <c r="H4" s="12"/>
      <c r="I4" s="12"/>
      <c r="J4" s="12"/>
      <c r="K4" s="1"/>
    </row>
    <row r="5" spans="1:11" s="11" customFormat="1" ht="12.75" customHeight="1" x14ac:dyDescent="0.2">
      <c r="A5" s="28" t="s">
        <v>9</v>
      </c>
      <c r="B5" s="34"/>
      <c r="H5" s="12"/>
      <c r="I5" s="12"/>
      <c r="J5" s="12"/>
      <c r="K5" s="1"/>
    </row>
    <row r="6" spans="1:11" s="3" customFormat="1" x14ac:dyDescent="0.25">
      <c r="A6" s="6"/>
      <c r="B6" s="9"/>
      <c r="C6" s="8"/>
      <c r="D6" s="8"/>
      <c r="E6" s="10"/>
      <c r="F6" s="10"/>
    </row>
    <row r="7" spans="1:11" s="3" customFormat="1" ht="12" customHeight="1" x14ac:dyDescent="0.25">
      <c r="A7" s="98" t="s">
        <v>59</v>
      </c>
      <c r="B7" s="99"/>
      <c r="C7" s="99"/>
      <c r="D7" s="99"/>
      <c r="E7" s="100"/>
      <c r="F7" s="10"/>
    </row>
    <row r="8" spans="1:11" ht="24" x14ac:dyDescent="0.25">
      <c r="A8" s="36" t="s">
        <v>20</v>
      </c>
      <c r="B8" s="36" t="s">
        <v>10</v>
      </c>
      <c r="C8" s="36" t="s">
        <v>18</v>
      </c>
      <c r="D8" s="36" t="s">
        <v>21</v>
      </c>
      <c r="E8" s="36" t="s">
        <v>19</v>
      </c>
      <c r="F8"/>
    </row>
    <row r="9" spans="1:11" ht="23.25" customHeight="1" x14ac:dyDescent="0.2">
      <c r="A9" s="43"/>
      <c r="B9" s="38"/>
      <c r="C9" s="38"/>
      <c r="D9" s="38"/>
      <c r="E9" s="38" t="str">
        <f>IF(A9="", "", CONCATENATE(
"USE [", A9, "]; ", CHAR(10),
"IF NOT EXISTS (SELECT 1 FROM sys.database_principals WHERE sid = SUSER_SID(N'", B9, "')) ", CHAR(10),
"   AND EXISTS (SELECT 1 FROM master.sys.server_principals WHERE sid = SUSER_SID(N'", IF(C9="", B9, C9), "')) ", CHAR(10),
" CREATE USER [", B9, "] FOR LOGIN [", IF(C9="", B9, C9), "]", CONCATENATE(" WITH DEFAULT_SCHEMA = [", IF(D9="","dbo", D9), "]"), ";", CHAR(10),
"GO"))</f>
        <v/>
      </c>
    </row>
    <row r="10" spans="1:11" ht="23.25" customHeight="1" x14ac:dyDescent="0.2">
      <c r="A10" s="43"/>
      <c r="B10" s="38"/>
      <c r="C10" s="38"/>
      <c r="D10" s="38"/>
      <c r="E10" s="38" t="str">
        <f t="shared" ref="E10:E19" si="0">IF(A10="", "", CONCATENATE(
"USE [", A10, "]; ", CHAR(10),
"IF NOT EXISTS (SELECT 1 FROM sys.database_principals WHERE sid = SUSER_SID(N'", B10, "')) ", CHAR(10),
"   AND EXISTS (SELECT 1 FROM master.sys.server_principals WHERE sid = SUSER_SID(N'", IF(C10="", B10, C10), "')) ", CHAR(10),
" CREATE USER [", B10, "] FOR LOGIN [", IF(C10="", B10, C10), "]", CONCATENATE(" WITH DEFAULT_SCHEMA = [", IF(D10="","dbo", D10), "]"), ";", CHAR(10),
"GO"))</f>
        <v/>
      </c>
    </row>
    <row r="11" spans="1:11" ht="23.25" customHeight="1" x14ac:dyDescent="0.2">
      <c r="A11" s="43"/>
      <c r="B11" s="38"/>
      <c r="C11" s="38"/>
      <c r="D11" s="38"/>
      <c r="E11" s="38" t="str">
        <f t="shared" si="0"/>
        <v/>
      </c>
    </row>
    <row r="12" spans="1:11" ht="23.25" customHeight="1" x14ac:dyDescent="0.2">
      <c r="A12" s="43"/>
      <c r="B12" s="38"/>
      <c r="C12" s="38"/>
      <c r="D12" s="38"/>
      <c r="E12" s="38" t="str">
        <f t="shared" si="0"/>
        <v/>
      </c>
    </row>
    <row r="13" spans="1:11" ht="23.25" customHeight="1" x14ac:dyDescent="0.2">
      <c r="A13" s="43"/>
      <c r="B13" s="38"/>
      <c r="C13" s="38"/>
      <c r="D13" s="38"/>
      <c r="E13" s="38" t="str">
        <f t="shared" si="0"/>
        <v/>
      </c>
    </row>
    <row r="14" spans="1:11" ht="23.25" customHeight="1" x14ac:dyDescent="0.2">
      <c r="A14" s="43"/>
      <c r="B14" s="38"/>
      <c r="C14" s="38"/>
      <c r="D14" s="38"/>
      <c r="E14" s="38" t="str">
        <f t="shared" si="0"/>
        <v/>
      </c>
    </row>
    <row r="15" spans="1:11" ht="23.25" customHeight="1" x14ac:dyDescent="0.2">
      <c r="A15" s="43"/>
      <c r="B15" s="38"/>
      <c r="C15" s="38"/>
      <c r="D15" s="38"/>
      <c r="E15" s="38" t="str">
        <f t="shared" si="0"/>
        <v/>
      </c>
    </row>
    <row r="16" spans="1:11" ht="23.25" customHeight="1" x14ac:dyDescent="0.2">
      <c r="A16" s="43"/>
      <c r="B16" s="38"/>
      <c r="C16" s="38"/>
      <c r="D16" s="38"/>
      <c r="E16" s="38" t="str">
        <f t="shared" si="0"/>
        <v/>
      </c>
    </row>
    <row r="17" spans="1:5" ht="23.25" customHeight="1" x14ac:dyDescent="0.2">
      <c r="A17" s="43"/>
      <c r="B17" s="38"/>
      <c r="C17" s="38"/>
      <c r="D17" s="38"/>
      <c r="E17" s="38" t="str">
        <f t="shared" si="0"/>
        <v/>
      </c>
    </row>
    <row r="18" spans="1:5" ht="23.25" customHeight="1" x14ac:dyDescent="0.2">
      <c r="A18" s="43"/>
      <c r="B18" s="38"/>
      <c r="C18" s="38"/>
      <c r="D18" s="38"/>
      <c r="E18" s="38" t="str">
        <f t="shared" si="0"/>
        <v/>
      </c>
    </row>
    <row r="19" spans="1:5" ht="23.25" customHeight="1" x14ac:dyDescent="0.2">
      <c r="A19" s="43"/>
      <c r="B19" s="38"/>
      <c r="C19" s="38"/>
      <c r="D19" s="38"/>
      <c r="E19" s="38" t="str">
        <f t="shared" si="0"/>
        <v/>
      </c>
    </row>
    <row r="20" spans="1:5" x14ac:dyDescent="0.2">
      <c r="A20" s="44"/>
      <c r="B20" s="45"/>
      <c r="C20" s="45"/>
      <c r="D20" s="45"/>
      <c r="E20" s="45"/>
    </row>
    <row r="22" spans="1:5" ht="12" customHeight="1" x14ac:dyDescent="0.2">
      <c r="A22" s="101" t="s">
        <v>61</v>
      </c>
      <c r="B22" s="101"/>
      <c r="C22" s="101"/>
      <c r="D22" s="101"/>
      <c r="E22" s="101"/>
    </row>
    <row r="23" spans="1:5" x14ac:dyDescent="0.2">
      <c r="A23" s="36" t="s">
        <v>20</v>
      </c>
      <c r="B23" s="36" t="s">
        <v>22</v>
      </c>
      <c r="C23" s="36" t="s">
        <v>23</v>
      </c>
      <c r="D23" s="36"/>
      <c r="E23" s="36" t="s">
        <v>19</v>
      </c>
    </row>
    <row r="24" spans="1:5" ht="24.75" customHeight="1" x14ac:dyDescent="0.2">
      <c r="A24" s="43"/>
      <c r="B24" s="38"/>
      <c r="C24" s="38"/>
      <c r="D24" s="38"/>
      <c r="E24" s="38" t="str">
        <f>IF(A24="", "", CONCATENATE(
"USE [", A24, "]; ", CHAR(10),
"IF NOT EXISTS(SELECT 1 FROM sys.database_principals WHERE name = N'", B24, "' and type = 'R') ", CHAR(10),
" CREATE ROLE [", B24, "] AUTHORIZATION [", IF(C24="", "dbo", C24), "]", ";", CHAR(10),
"GO"))</f>
        <v/>
      </c>
    </row>
    <row r="25" spans="1:5" ht="24.75" customHeight="1" x14ac:dyDescent="0.2">
      <c r="A25" s="43"/>
      <c r="B25" s="38"/>
      <c r="C25" s="38"/>
      <c r="D25" s="38"/>
      <c r="E25" s="38" t="str">
        <f>IF(A25="", "", CONCATENATE(
"USE [", A25, "]; ", CHAR(10),
"IF NOT EXISTS(SELECT 1 FROM sys.database_principals WHERE name = N'", B25, "' and type = 'R') ", CHAR(10),
" CREATE ROLE [", B25, "] AUTHORIZATION [", IF(C25="", "dbo", C25), "]", ";", CHAR(10),
"GO"))</f>
        <v/>
      </c>
    </row>
    <row r="26" spans="1:5" ht="24.75" customHeight="1" x14ac:dyDescent="0.2">
      <c r="A26" s="43"/>
      <c r="B26" s="38"/>
      <c r="C26" s="38"/>
      <c r="D26" s="38"/>
      <c r="E26" s="38" t="str">
        <f>IF(A26="", "", CONCATENATE(
"USE [", A26, "]; ", CHAR(10),
"IF NOT EXISTS(SELECT 1 FROM sys.database_principals WHERE name = N'", B26, "' and type = 'R') ", CHAR(10),
" CREATE ROLE [", B26, "] AUTHORIZATION [", IF(C26="", "dbo", C26), "]", ";", CHAR(10),
"GO"))</f>
        <v/>
      </c>
    </row>
    <row r="27" spans="1:5" ht="24.75" customHeight="1" x14ac:dyDescent="0.2">
      <c r="A27" s="43"/>
      <c r="B27" s="38"/>
      <c r="C27" s="38"/>
      <c r="D27" s="38"/>
      <c r="E27" s="38" t="str">
        <f>IF(A27="", "", CONCATENATE(
"USE [", A27, "]; ", CHAR(10),
"IF NOT EXISTS(SELECT 1 FROM sys.database_principals WHERE name = N'", B27, "' and type = 'R') ", CHAR(10),
" CREATE ROLE [", B27, "] AUTHORIZATION [", IF(C27="", "dbo", C27), "]", ";", CHAR(10),
"GO"))</f>
        <v/>
      </c>
    </row>
    <row r="28" spans="1:5" ht="24.75" customHeight="1" x14ac:dyDescent="0.2">
      <c r="A28" s="38"/>
      <c r="B28" s="38"/>
      <c r="C28" s="38"/>
      <c r="D28" s="38"/>
      <c r="E28" s="38" t="str">
        <f>IF(A28="", "", CONCATENATE(
"USE [", A28, "]; ", CHAR(10),
"IF NOT EXISTS(SELECT 1 FROM sys.database_principals WHERE name = N'", B28, "' and type = 'R') ", CHAR(10),
" CREATE ROLE [", B28, "] AUTHORIZATION [", IF(C28="", "dbo", C28), "]", ";", CHAR(10),
"GO"))</f>
        <v/>
      </c>
    </row>
    <row r="29" spans="1:5" x14ac:dyDescent="0.2">
      <c r="A29" s="45"/>
      <c r="B29" s="45"/>
      <c r="C29" s="45"/>
      <c r="D29" s="45"/>
      <c r="E29" s="45"/>
    </row>
    <row r="30" spans="1:5" x14ac:dyDescent="0.2">
      <c r="A30" s="45"/>
      <c r="B30" s="45"/>
      <c r="C30" s="45"/>
      <c r="D30" s="45"/>
    </row>
    <row r="31" spans="1:5" x14ac:dyDescent="0.2">
      <c r="A31" s="101" t="s">
        <v>68</v>
      </c>
      <c r="B31" s="101"/>
      <c r="C31" s="101"/>
      <c r="D31" s="101"/>
      <c r="E31" s="101"/>
    </row>
    <row r="32" spans="1:5" ht="36" x14ac:dyDescent="0.2">
      <c r="A32" s="36" t="s">
        <v>20</v>
      </c>
      <c r="B32" s="36" t="s">
        <v>22</v>
      </c>
      <c r="C32" s="36" t="s">
        <v>10</v>
      </c>
      <c r="D32" s="36" t="s">
        <v>49</v>
      </c>
      <c r="E32" s="36" t="s">
        <v>19</v>
      </c>
    </row>
    <row r="33" spans="1:5" ht="22.5" customHeight="1" x14ac:dyDescent="0.2">
      <c r="A33" s="43"/>
      <c r="B33" s="38"/>
      <c r="C33" s="38"/>
      <c r="D33" s="42"/>
      <c r="E33" s="38" t="str">
        <f>IF(A33="", "", CONCATENATE(
"USE [", A33, "]; ", CHAR(10),
"IF EXISTS(SELECT 1 FROM sys.database_principals WHERE name = N'", B33, "' AND type = 'R') ", CHAR(10),
"   AND EXISTS (SELECT 1 FROM sys.database_principals WHERE sid = SUSER_SID(N'", C33, "')) ", CHAR(10),
IF(D33 ="NO", CONCATENATE("   AND (USER_ID (N'", C33, "') IS NOT NULL) ",  CHAR(10)), ""),
" EXEC sp_addrolemember N'", B33, "', N'", C33, "'", ";", CHAR(10),
"GO"))</f>
        <v/>
      </c>
    </row>
    <row r="34" spans="1:5" ht="22.5" customHeight="1" x14ac:dyDescent="0.2">
      <c r="A34" s="43"/>
      <c r="B34" s="38"/>
      <c r="C34" s="38"/>
      <c r="D34" s="42"/>
      <c r="E34" s="38" t="str">
        <f t="shared" ref="E34:E42" si="1">IF(A34="", "", CONCATENATE(
"USE [", A34, "]; ", CHAR(10),
"IF EXISTS(SELECT 1 FROM sys.database_principals WHERE name = N'", B34, "' AND type = 'R') ", CHAR(10),
"   AND EXISTS (SELECT 1 FROM sys.database_principals WHERE sid = SUSER_SID(N'", C34, "')) ", CHAR(10),
IF(D34 ="NO", CONCATENATE("   AND (USER_ID (N'", C34, "') IS NOT NULL) ",  CHAR(10)), ""),
" EXEC sp_addrolemember N'", B34, "', N'", C34, "'", ";", CHAR(10),
"GO"))</f>
        <v/>
      </c>
    </row>
    <row r="35" spans="1:5" ht="22.5" customHeight="1" x14ac:dyDescent="0.2">
      <c r="A35" s="43"/>
      <c r="B35" s="38"/>
      <c r="C35" s="38"/>
      <c r="D35" s="42"/>
      <c r="E35" s="38" t="str">
        <f t="shared" si="1"/>
        <v/>
      </c>
    </row>
    <row r="36" spans="1:5" ht="22.5" customHeight="1" x14ac:dyDescent="0.2">
      <c r="A36" s="43"/>
      <c r="B36" s="38"/>
      <c r="C36" s="38"/>
      <c r="D36" s="42"/>
      <c r="E36" s="38" t="str">
        <f t="shared" si="1"/>
        <v/>
      </c>
    </row>
    <row r="37" spans="1:5" ht="22.5" customHeight="1" x14ac:dyDescent="0.2">
      <c r="A37" s="43"/>
      <c r="B37" s="38"/>
      <c r="C37" s="38"/>
      <c r="D37" s="42"/>
      <c r="E37" s="38" t="str">
        <f t="shared" si="1"/>
        <v/>
      </c>
    </row>
    <row r="38" spans="1:5" ht="22.5" customHeight="1" x14ac:dyDescent="0.2">
      <c r="A38" s="43"/>
      <c r="B38" s="38"/>
      <c r="C38" s="38"/>
      <c r="D38" s="42"/>
      <c r="E38" s="38" t="str">
        <f t="shared" si="1"/>
        <v/>
      </c>
    </row>
    <row r="39" spans="1:5" ht="22.5" customHeight="1" x14ac:dyDescent="0.2">
      <c r="A39" s="43"/>
      <c r="B39" s="38"/>
      <c r="C39" s="38"/>
      <c r="D39" s="42"/>
      <c r="E39" s="38" t="str">
        <f t="shared" si="1"/>
        <v/>
      </c>
    </row>
    <row r="40" spans="1:5" ht="22.5" customHeight="1" x14ac:dyDescent="0.2">
      <c r="A40" s="43"/>
      <c r="B40" s="38"/>
      <c r="C40" s="38"/>
      <c r="D40" s="42"/>
      <c r="E40" s="38" t="str">
        <f t="shared" si="1"/>
        <v/>
      </c>
    </row>
    <row r="41" spans="1:5" ht="22.5" customHeight="1" x14ac:dyDescent="0.2">
      <c r="A41" s="43"/>
      <c r="B41" s="38"/>
      <c r="C41" s="38"/>
      <c r="D41" s="42"/>
      <c r="E41" s="38" t="str">
        <f t="shared" si="1"/>
        <v/>
      </c>
    </row>
    <row r="42" spans="1:5" ht="22.5" customHeight="1" x14ac:dyDescent="0.2">
      <c r="A42" s="43"/>
      <c r="B42" s="38"/>
      <c r="C42" s="38"/>
      <c r="D42" s="42"/>
      <c r="E42" s="38" t="str">
        <f t="shared" si="1"/>
        <v/>
      </c>
    </row>
  </sheetData>
  <mergeCells count="6">
    <mergeCell ref="A22:E22"/>
    <mergeCell ref="A31:E31"/>
    <mergeCell ref="B3:C3"/>
    <mergeCell ref="B4:C4"/>
    <mergeCell ref="B1:D1"/>
    <mergeCell ref="A7:E7"/>
  </mergeCells>
  <dataValidations count="1">
    <dataValidation type="list" allowBlank="1" showInputMessage="1" showErrorMessage="1" sqref="D33:D42">
      <formula1>SI_NO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K57"/>
  <sheetViews>
    <sheetView showGridLines="0" workbookViewId="0">
      <selection activeCell="C23" sqref="C23"/>
    </sheetView>
  </sheetViews>
  <sheetFormatPr baseColWidth="10" defaultColWidth="11.42578125" defaultRowHeight="12" x14ac:dyDescent="0.2"/>
  <cols>
    <col min="1" max="1" width="42.7109375" style="4" customWidth="1"/>
    <col min="2" max="2" width="35.28515625" style="4" customWidth="1"/>
    <col min="3" max="3" width="38" style="4" customWidth="1"/>
    <col min="4" max="4" width="24.28515625" style="4" customWidth="1"/>
    <col min="5" max="5" width="31.140625" style="4" customWidth="1"/>
    <col min="6" max="6" width="53.5703125" style="4" customWidth="1"/>
    <col min="7" max="7" width="11.5703125" style="4" bestFit="1" customWidth="1"/>
    <col min="8" max="8" width="58.7109375" style="4" customWidth="1"/>
    <col min="9" max="9" width="19" style="4" bestFit="1" customWidth="1"/>
    <col min="10" max="10" width="4.5703125" style="4" customWidth="1"/>
    <col min="11" max="16384" width="11.42578125" style="4"/>
  </cols>
  <sheetData>
    <row r="1" spans="1:11" s="3" customFormat="1" ht="38.25" customHeight="1" x14ac:dyDescent="0.25">
      <c r="A1" s="2"/>
      <c r="B1" s="103" t="s">
        <v>116</v>
      </c>
      <c r="C1" s="103"/>
      <c r="D1" s="103"/>
      <c r="E1" s="27"/>
      <c r="F1" s="27"/>
    </row>
    <row r="2" spans="1:11" x14ac:dyDescent="0.2">
      <c r="F2" s="5"/>
    </row>
    <row r="3" spans="1:11" s="11" customFormat="1" ht="15" customHeight="1" x14ac:dyDescent="0.2">
      <c r="A3" s="28" t="s">
        <v>47</v>
      </c>
      <c r="B3" s="105"/>
      <c r="C3" s="105"/>
      <c r="H3" s="12"/>
      <c r="I3" s="12"/>
      <c r="J3" s="12"/>
      <c r="K3" s="1"/>
    </row>
    <row r="4" spans="1:11" s="11" customFormat="1" ht="15" customHeight="1" x14ac:dyDescent="0.2">
      <c r="A4" s="28" t="s">
        <v>11</v>
      </c>
      <c r="B4" s="104"/>
      <c r="C4" s="104"/>
      <c r="H4" s="12"/>
      <c r="I4" s="12"/>
      <c r="J4" s="12"/>
      <c r="K4" s="1"/>
    </row>
    <row r="5" spans="1:11" s="11" customFormat="1" ht="12.75" customHeight="1" x14ac:dyDescent="0.2">
      <c r="A5" s="28" t="s">
        <v>9</v>
      </c>
      <c r="B5" s="34"/>
      <c r="H5" s="12"/>
      <c r="I5" s="12"/>
      <c r="J5" s="12"/>
      <c r="K5" s="1"/>
    </row>
    <row r="6" spans="1:11" s="3" customFormat="1" x14ac:dyDescent="0.25">
      <c r="A6" s="6"/>
      <c r="B6" s="9"/>
      <c r="C6" s="8"/>
      <c r="D6" s="8"/>
      <c r="E6" s="10"/>
      <c r="F6" s="10"/>
    </row>
    <row r="7" spans="1:11" s="3" customFormat="1" ht="12" customHeight="1" x14ac:dyDescent="0.25">
      <c r="A7" s="109" t="s">
        <v>77</v>
      </c>
      <c r="B7" s="110"/>
      <c r="C7" s="110"/>
      <c r="D7" s="110"/>
      <c r="E7" s="110"/>
      <c r="F7" s="110"/>
      <c r="G7" s="110"/>
      <c r="H7" s="110"/>
      <c r="I7" s="111"/>
    </row>
    <row r="8" spans="1:11" ht="24" x14ac:dyDescent="0.2">
      <c r="A8" s="36" t="s">
        <v>22</v>
      </c>
      <c r="B8" s="36" t="s">
        <v>78</v>
      </c>
      <c r="C8" s="36" t="s">
        <v>79</v>
      </c>
      <c r="D8" s="36" t="s">
        <v>80</v>
      </c>
      <c r="E8" s="36" t="s">
        <v>81</v>
      </c>
      <c r="F8" s="36" t="s">
        <v>82</v>
      </c>
      <c r="G8" s="36" t="s">
        <v>83</v>
      </c>
      <c r="H8" s="36" t="s">
        <v>84</v>
      </c>
      <c r="I8" s="36" t="s">
        <v>85</v>
      </c>
    </row>
    <row r="9" spans="1:11" ht="15" x14ac:dyDescent="0.25">
      <c r="A9" s="43"/>
      <c r="B9" s="38"/>
      <c r="C9" s="38"/>
      <c r="D9" s="52"/>
      <c r="E9" s="53"/>
      <c r="F9" s="50"/>
      <c r="G9" s="50"/>
      <c r="H9" s="50"/>
      <c r="I9" s="50"/>
    </row>
    <row r="10" spans="1:11" ht="15" x14ac:dyDescent="0.25">
      <c r="A10" s="43"/>
      <c r="B10" s="38"/>
      <c r="C10" s="38"/>
      <c r="D10" s="52"/>
      <c r="E10" s="53"/>
      <c r="F10" s="50"/>
      <c r="G10" s="50"/>
      <c r="H10" s="50"/>
      <c r="I10" s="50"/>
    </row>
    <row r="11" spans="1:11" ht="15" x14ac:dyDescent="0.25">
      <c r="A11" s="38"/>
      <c r="B11" s="38"/>
      <c r="C11" s="38"/>
      <c r="D11" s="52"/>
      <c r="E11" s="53"/>
      <c r="F11" s="50"/>
      <c r="G11" s="50"/>
      <c r="H11" s="50"/>
      <c r="I11" s="50"/>
    </row>
    <row r="12" spans="1:11" ht="15" x14ac:dyDescent="0.25">
      <c r="A12" s="43"/>
      <c r="B12" s="38"/>
      <c r="C12" s="38"/>
      <c r="D12" s="52"/>
      <c r="E12" s="53"/>
      <c r="F12" s="54"/>
      <c r="G12" s="54"/>
      <c r="H12" s="54"/>
      <c r="I12" s="50"/>
    </row>
    <row r="13" spans="1:11" ht="15" x14ac:dyDescent="0.25">
      <c r="A13" s="43"/>
      <c r="B13" s="38"/>
      <c r="C13" s="38"/>
      <c r="D13" s="52"/>
      <c r="E13" s="52"/>
      <c r="F13" s="50"/>
      <c r="G13" s="50"/>
      <c r="H13" s="50"/>
      <c r="I13" s="50"/>
    </row>
    <row r="14" spans="1:11" ht="15" x14ac:dyDescent="0.25">
      <c r="A14" s="43"/>
      <c r="B14" s="38"/>
      <c r="C14" s="38"/>
      <c r="D14" s="52"/>
      <c r="E14" s="52"/>
      <c r="F14" s="50"/>
      <c r="G14" s="50"/>
      <c r="H14" s="50"/>
      <c r="I14" s="50"/>
    </row>
    <row r="15" spans="1:11" ht="15" x14ac:dyDescent="0.25">
      <c r="A15" s="43"/>
      <c r="B15" s="38"/>
      <c r="C15" s="38"/>
      <c r="D15" s="52"/>
      <c r="E15" s="52"/>
      <c r="F15" s="50"/>
      <c r="G15" s="50"/>
      <c r="H15" s="50"/>
      <c r="I15" s="50"/>
    </row>
    <row r="16" spans="1:11" x14ac:dyDescent="0.2">
      <c r="A16" s="44"/>
      <c r="B16" s="45"/>
      <c r="C16" s="45"/>
      <c r="D16" s="45"/>
      <c r="E16" s="45"/>
    </row>
    <row r="18" spans="1:3" ht="12" customHeight="1" x14ac:dyDescent="0.25">
      <c r="A18" s="98" t="s">
        <v>86</v>
      </c>
      <c r="B18" s="100"/>
      <c r="C18"/>
    </row>
    <row r="19" spans="1:3" ht="15" x14ac:dyDescent="0.25">
      <c r="A19" s="36" t="s">
        <v>22</v>
      </c>
      <c r="B19" s="36" t="s">
        <v>10</v>
      </c>
      <c r="C19"/>
    </row>
    <row r="20" spans="1:3" ht="15" x14ac:dyDescent="0.25">
      <c r="A20" s="43"/>
      <c r="B20" s="38"/>
      <c r="C20"/>
    </row>
    <row r="21" spans="1:3" ht="15" x14ac:dyDescent="0.25">
      <c r="A21" s="43"/>
      <c r="B21" s="38"/>
      <c r="C21"/>
    </row>
    <row r="22" spans="1:3" ht="15" x14ac:dyDescent="0.25">
      <c r="A22" s="43"/>
      <c r="B22" s="38"/>
      <c r="C22"/>
    </row>
    <row r="23" spans="1:3" ht="15" x14ac:dyDescent="0.25">
      <c r="A23" s="43"/>
      <c r="B23" s="38"/>
      <c r="C23"/>
    </row>
    <row r="24" spans="1:3" ht="15" x14ac:dyDescent="0.25">
      <c r="A24" s="43"/>
      <c r="B24" s="38"/>
      <c r="C24"/>
    </row>
    <row r="25" spans="1:3" ht="15" x14ac:dyDescent="0.25">
      <c r="A25" s="43"/>
      <c r="B25" s="38"/>
      <c r="C25"/>
    </row>
    <row r="26" spans="1:3" ht="15" x14ac:dyDescent="0.25">
      <c r="A26" s="43"/>
      <c r="B26" s="38"/>
      <c r="C26"/>
    </row>
    <row r="27" spans="1:3" ht="15" x14ac:dyDescent="0.25">
      <c r="A27" s="43"/>
      <c r="B27" s="38"/>
      <c r="C27"/>
    </row>
    <row r="30" spans="1:3" x14ac:dyDescent="0.2">
      <c r="A30" s="106" t="s">
        <v>87</v>
      </c>
      <c r="B30" s="107"/>
      <c r="C30" s="108"/>
    </row>
    <row r="31" spans="1:3" x14ac:dyDescent="0.2">
      <c r="A31" s="51" t="s">
        <v>88</v>
      </c>
      <c r="B31" s="51" t="s">
        <v>22</v>
      </c>
      <c r="C31" s="51" t="s">
        <v>89</v>
      </c>
    </row>
    <row r="32" spans="1:3" x14ac:dyDescent="0.2">
      <c r="A32" s="43"/>
      <c r="B32" s="38"/>
      <c r="C32" s="38"/>
    </row>
    <row r="33" spans="1:3" x14ac:dyDescent="0.2">
      <c r="A33" s="43"/>
      <c r="B33" s="38"/>
      <c r="C33" s="38"/>
    </row>
    <row r="34" spans="1:3" x14ac:dyDescent="0.2">
      <c r="A34" s="43"/>
      <c r="B34" s="38"/>
      <c r="C34" s="38"/>
    </row>
    <row r="35" spans="1:3" x14ac:dyDescent="0.2">
      <c r="A35" s="43"/>
      <c r="B35" s="38"/>
      <c r="C35" s="38"/>
    </row>
    <row r="36" spans="1:3" x14ac:dyDescent="0.2">
      <c r="A36" s="43"/>
      <c r="B36" s="38"/>
      <c r="C36" s="38"/>
    </row>
    <row r="37" spans="1:3" x14ac:dyDescent="0.2">
      <c r="A37" s="43"/>
      <c r="B37" s="38"/>
      <c r="C37" s="38"/>
    </row>
    <row r="38" spans="1:3" x14ac:dyDescent="0.2">
      <c r="A38" s="43"/>
      <c r="B38" s="38"/>
      <c r="C38" s="38"/>
    </row>
    <row r="39" spans="1:3" x14ac:dyDescent="0.2">
      <c r="A39" s="43"/>
      <c r="B39" s="38"/>
      <c r="C39" s="38"/>
    </row>
    <row r="40" spans="1:3" x14ac:dyDescent="0.2">
      <c r="A40" s="43"/>
      <c r="B40" s="38"/>
      <c r="C40" s="38"/>
    </row>
    <row r="41" spans="1:3" x14ac:dyDescent="0.2">
      <c r="A41" s="43"/>
      <c r="B41" s="38"/>
      <c r="C41" s="38"/>
    </row>
    <row r="42" spans="1:3" x14ac:dyDescent="0.2">
      <c r="A42" s="43"/>
      <c r="B42" s="38"/>
      <c r="C42" s="38"/>
    </row>
    <row r="43" spans="1:3" x14ac:dyDescent="0.2">
      <c r="A43" s="44"/>
      <c r="B43" s="45"/>
      <c r="C43" s="45"/>
    </row>
    <row r="45" spans="1:3" x14ac:dyDescent="0.2">
      <c r="A45" s="106" t="s">
        <v>90</v>
      </c>
      <c r="B45" s="107"/>
      <c r="C45" s="108"/>
    </row>
    <row r="46" spans="1:3" x14ac:dyDescent="0.2">
      <c r="A46" s="51" t="s">
        <v>88</v>
      </c>
      <c r="B46" s="51" t="s">
        <v>22</v>
      </c>
      <c r="C46" s="51" t="s">
        <v>10</v>
      </c>
    </row>
    <row r="47" spans="1:3" x14ac:dyDescent="0.2">
      <c r="A47" s="43"/>
      <c r="B47" s="38"/>
      <c r="C47" s="38"/>
    </row>
    <row r="48" spans="1:3" x14ac:dyDescent="0.2">
      <c r="A48" s="43"/>
      <c r="B48" s="38"/>
      <c r="C48" s="38"/>
    </row>
    <row r="49" spans="1:3" x14ac:dyDescent="0.2">
      <c r="A49" s="43"/>
      <c r="B49" s="38"/>
      <c r="C49" s="38"/>
    </row>
    <row r="50" spans="1:3" x14ac:dyDescent="0.2">
      <c r="A50" s="43"/>
      <c r="B50" s="38"/>
      <c r="C50" s="38"/>
    </row>
    <row r="51" spans="1:3" x14ac:dyDescent="0.2">
      <c r="A51" s="43"/>
      <c r="B51" s="38"/>
      <c r="C51" s="38"/>
    </row>
    <row r="52" spans="1:3" x14ac:dyDescent="0.2">
      <c r="A52" s="43"/>
      <c r="B52" s="38"/>
      <c r="C52" s="38"/>
    </row>
    <row r="53" spans="1:3" x14ac:dyDescent="0.2">
      <c r="A53" s="43"/>
      <c r="B53" s="38"/>
      <c r="C53" s="38"/>
    </row>
    <row r="54" spans="1:3" x14ac:dyDescent="0.2">
      <c r="A54" s="43"/>
      <c r="B54" s="38"/>
      <c r="C54" s="38"/>
    </row>
    <row r="55" spans="1:3" x14ac:dyDescent="0.2">
      <c r="A55" s="43"/>
      <c r="B55" s="38"/>
      <c r="C55" s="38"/>
    </row>
    <row r="56" spans="1:3" x14ac:dyDescent="0.2">
      <c r="A56" s="43"/>
      <c r="B56" s="38"/>
      <c r="C56" s="38"/>
    </row>
    <row r="57" spans="1:3" x14ac:dyDescent="0.2">
      <c r="A57" s="43"/>
      <c r="B57" s="38"/>
      <c r="C57" s="38"/>
    </row>
  </sheetData>
  <mergeCells count="7">
    <mergeCell ref="A45:C45"/>
    <mergeCell ref="B1:D1"/>
    <mergeCell ref="B3:C3"/>
    <mergeCell ref="B4:C4"/>
    <mergeCell ref="A7:I7"/>
    <mergeCell ref="A18:B18"/>
    <mergeCell ref="A30:C30"/>
  </mergeCells>
  <pageMargins left="0.7" right="0.7" top="0.75" bottom="0.75" header="0.3" footer="0.3"/>
  <pageSetup paperSize="9" orientation="portrait" horizontalDpi="200" verticalDpi="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K203"/>
  <sheetViews>
    <sheetView showGridLines="0" workbookViewId="0">
      <pane xSplit="2" ySplit="8" topLeftCell="C9" activePane="bottomRight" state="frozen"/>
      <selection activeCell="B1" sqref="B1:D1"/>
      <selection pane="topRight" activeCell="B1" sqref="B1:D1"/>
      <selection pane="bottomLeft" activeCell="B1" sqref="B1:D1"/>
      <selection pane="bottomRight" activeCell="F17" sqref="F17"/>
    </sheetView>
  </sheetViews>
  <sheetFormatPr baseColWidth="10" defaultColWidth="11.42578125" defaultRowHeight="12" x14ac:dyDescent="0.2"/>
  <cols>
    <col min="1" max="1" width="20.42578125" style="4" customWidth="1"/>
    <col min="2" max="2" width="30.7109375" style="4" customWidth="1"/>
    <col min="3" max="3" width="13.7109375" style="4" customWidth="1"/>
    <col min="4" max="4" width="35.7109375" style="4" customWidth="1"/>
    <col min="5" max="5" width="18.28515625" style="4" customWidth="1"/>
    <col min="6" max="6" width="37.140625" style="4" bestFit="1" customWidth="1"/>
    <col min="7" max="16384" width="11.42578125" style="4"/>
  </cols>
  <sheetData>
    <row r="1" spans="1:11" s="3" customFormat="1" ht="39" customHeight="1" x14ac:dyDescent="0.25">
      <c r="A1" s="2"/>
      <c r="B1" s="103" t="s">
        <v>114</v>
      </c>
      <c r="C1" s="103"/>
      <c r="D1" s="103"/>
      <c r="E1" s="27"/>
    </row>
    <row r="2" spans="1:11" x14ac:dyDescent="0.2">
      <c r="D2" s="5"/>
      <c r="E2" s="5"/>
    </row>
    <row r="3" spans="1:11" s="11" customFormat="1" ht="15" customHeight="1" x14ac:dyDescent="0.2">
      <c r="A3" s="28" t="s">
        <v>47</v>
      </c>
      <c r="B3" s="105" t="s">
        <v>110</v>
      </c>
      <c r="C3" s="105"/>
      <c r="H3" s="12"/>
      <c r="I3" s="12"/>
      <c r="J3" s="12"/>
      <c r="K3" s="1"/>
    </row>
    <row r="4" spans="1:11" s="11" customFormat="1" ht="15" customHeight="1" x14ac:dyDescent="0.2">
      <c r="A4" s="28" t="s">
        <v>11</v>
      </c>
      <c r="B4" s="104" t="s">
        <v>111</v>
      </c>
      <c r="C4" s="104"/>
      <c r="H4" s="12"/>
      <c r="I4" s="12"/>
      <c r="J4" s="12"/>
      <c r="K4" s="1"/>
    </row>
    <row r="5" spans="1:11" s="11" customFormat="1" ht="15" customHeight="1" x14ac:dyDescent="0.2">
      <c r="A5" s="28" t="s">
        <v>46</v>
      </c>
      <c r="B5" s="104" t="s">
        <v>112</v>
      </c>
      <c r="C5" s="104"/>
      <c r="H5" s="12"/>
      <c r="I5" s="12"/>
      <c r="J5" s="12"/>
      <c r="K5" s="1"/>
    </row>
    <row r="6" spans="1:11" s="11" customFormat="1" ht="12.75" customHeight="1" x14ac:dyDescent="0.2">
      <c r="A6" s="28" t="s">
        <v>9</v>
      </c>
      <c r="B6" s="34">
        <v>43713</v>
      </c>
      <c r="H6" s="12"/>
      <c r="I6" s="12"/>
      <c r="J6" s="12"/>
      <c r="K6" s="1"/>
    </row>
    <row r="7" spans="1:11" s="3" customFormat="1" x14ac:dyDescent="0.25">
      <c r="A7" s="6"/>
      <c r="B7" s="9"/>
      <c r="C7" s="8"/>
      <c r="D7" s="10"/>
      <c r="E7" s="10"/>
    </row>
    <row r="8" spans="1:11" ht="24" x14ac:dyDescent="0.25">
      <c r="A8" s="65" t="s">
        <v>12</v>
      </c>
      <c r="B8" s="65" t="s">
        <v>13</v>
      </c>
      <c r="C8" s="65" t="s">
        <v>14</v>
      </c>
      <c r="D8" s="65" t="s">
        <v>117</v>
      </c>
      <c r="E8"/>
    </row>
    <row r="9" spans="1:11" ht="22.5" customHeight="1" x14ac:dyDescent="0.2">
      <c r="A9" s="95" t="s">
        <v>118</v>
      </c>
      <c r="B9" s="96"/>
      <c r="C9" s="96"/>
      <c r="D9" s="97" t="str">
        <f>IF(OR($A9="", C9=""), "", CONCATENATE("GRANT ", IF(NOT(ISERROR(FIND("H",C9,1))), CONCATENATE("EXECUTE ON XML SCHEMA COLLECTION::",IF(ISERROR(FIND("[",$A9,1)),"[",""), $A9, IF(ISERROR(FIND("]",$A9,1)),"]",""), ".", IF(ISERROR(FIND("[",$B9,1)),"[",""), $B9, IF(ISERROR(FIND("]",$B9,1)),"]","")),IF(NOT(ISERROR(FIND("N",C9,1))), CONCATENATE("SEND ON SERVICE::",IF(ISERROR(FIND("[",$B9,1)),"[",""), $B9, IF(ISERROR(FIND("]",$B9,1)),"]","")),CONCATENATE(LEFT(CONCATENATE(IF(ISERROR(FIND("V",C9,1)),"","RECEIVE, "), IF(ISERROR(FIND("C",C9,1)),"","INSERT, "),IF(ISERROR(FIND("R",C9,1)),"","SELECT, "), IF(ISERROR(FIND("U",C9,1)),"","UPDATE, "),IF(ISERROR(FIND("D",C9,1)),"","DELETE, "), IF(ISERROR(FIND("X",C9,1)),"","EXECUTE, "), IF(ISERROR(FIND("F",C9,1)),"","REFERENCES")),IF(ISERROR(FIND("F",C9,1)), LEN(CONCATENATE(IF(ISERROR(FIND("V",C9,1)),"","RECEIVE, "), IF(ISERROR(FIND("C",C9,1)),"","INSERT, "),IF(ISERROR(FIND("R",C9,1)),"","SELECT, "), IF(ISERROR(FIND("U",C9,1)),"","UPDATE, "),IF(ISERROR(FIND("D",C9,1)),"","DELETE, "), IF(ISERROR(FIND("X",C9,1)),"","EXECUTE, ")))-2,LEN(CONCATENATE(IF(ISERROR(FIND("V",C9,1)),"","RECEIVE, "), IF(ISERROR(FIND("C",C9,1)),"","INSERT, "),IF(ISERROR(FIND("R",C9,1)),"","SELECT, "), IF(ISERROR(FIND("U",C9,1)),"","UPDATE, "),IF(ISERROR(FIND("D",C9,1)),"","DELETE, "), IF(ISERROR(FIND("X",C9,1)),"","EXECUTE, "),IF(ISERROR(FIND("F",C9,1)),"","REFERENCES"))))), " ON ",IF(ISERROR(FIND("[",$A9,1)),"[",""), $A9, IF(ISERROR(FIND("]",$A9,1)),"]",""), ".", IF(ISERROR(FIND("[",$B9,1)),"[",""), $B9, IF(ISERROR(FIND("]",$B9,1)),"]","")))), " TO ", IF(ISERROR(FIND("[",D$8,1)),"[",""), D$8, IF(ISERROR(FIND("]",D$8,1)),"]",""),";" ))</f>
        <v/>
      </c>
    </row>
    <row r="10" spans="1:11" ht="22.5" customHeight="1" x14ac:dyDescent="0.2">
      <c r="A10" s="66" t="s">
        <v>119</v>
      </c>
      <c r="B10" s="66" t="s">
        <v>120</v>
      </c>
      <c r="C10" s="67" t="s">
        <v>121</v>
      </c>
      <c r="D10" s="68" t="str">
        <f>IF(OR($A10="", C10=""), "", CONCATENATE("GRANT ", IF(NOT(ISERROR(FIND("H",C10,1))), CONCATENATE("EXECUTE ON XML SCHEMA COLLECTION::",IF(ISERROR(FIND("[",$A10,1)),"[",""), $A10, IF(ISERROR(FIND("]",$A10,1)),"]",""), ".", IF(ISERROR(FIND("[",$B10,1)),"[",""), $B10, IF(ISERROR(FIND("]",$B10,1)),"]","")),IF(NOT(ISERROR(FIND("N",C10,1))), CONCATENATE("SEND ON SERVICE::",IF(ISERROR(FIND("[",$B10,1)),"[",""), $B10, IF(ISERROR(FIND("]",$B10,1)),"]","")),CONCATENATE(LEFT(CONCATENATE(IF(ISERROR(FIND("V",C10,1)),"","RECEIVE, "), IF(ISERROR(FIND("C",C10,1)),"","INSERT, "),IF(ISERROR(FIND("R",C10,1)),"","SELECT, "), IF(ISERROR(FIND("U",C10,1)),"","UPDATE, "),IF(ISERROR(FIND("D",C10,1)),"","DELETE, "), IF(ISERROR(FIND("X",C10,1)),"","EXECUTE, "), IF(ISERROR(FIND("F",C10,1)),"","REFERENCES")),IF(ISERROR(FIND("F",C10,1)), LEN(CONCATENATE(IF(ISERROR(FIND("V",C10,1)),"","RECEIVE, "), IF(ISERROR(FIND("C",C10,1)),"","INSERT, "),IF(ISERROR(FIND("R",C10,1)),"","SELECT, "), IF(ISERROR(FIND("U",C10,1)),"","UPDATE, "),IF(ISERROR(FIND("D",C10,1)),"","DELETE, "), IF(ISERROR(FIND("X",C10,1)),"","EXECUTE, ")))-2,LEN(CONCATENATE(IF(ISERROR(FIND("V",C10,1)),"","RECEIVE, "), IF(ISERROR(FIND("C",C10,1)),"","INSERT, "),IF(ISERROR(FIND("R",C10,1)),"","SELECT, "), IF(ISERROR(FIND("U",C10,1)),"","UPDATE, "),IF(ISERROR(FIND("D",C10,1)),"","DELETE, "), IF(ISERROR(FIND("X",C10,1)),"","EXECUTE, "),IF(ISERROR(FIND("F",C10,1)),"","REFERENCES"))))), " ON ",IF(ISERROR(FIND("[",$A10,1)),"[",""), $A10, IF(ISERROR(FIND("]",$A10,1)),"]",""), ".", IF(ISERROR(FIND("[",$B10,1)),"[",""), $B10, IF(ISERROR(FIND("]",$B10,1)),"]","")))), " TO ", IF(ISERROR(FIND("[",D$8,1)),"[",""), D$8, IF(ISERROR(FIND("]",D$8,1)),"]",""),";" ))</f>
        <v>GRANT INSERT, SELECT, UPDATE, DELETE, REFERENCES ON [Audit].[Bitacora] TO [R_DemandaDW];</v>
      </c>
    </row>
    <row r="11" spans="1:11" ht="22.5" customHeight="1" x14ac:dyDescent="0.2">
      <c r="A11" s="66" t="s">
        <v>119</v>
      </c>
      <c r="B11" s="66" t="s">
        <v>122</v>
      </c>
      <c r="C11" s="67" t="s">
        <v>121</v>
      </c>
      <c r="D11" s="68" t="str">
        <f>IF(OR($A11="", C11=""), "", CONCATENATE("GRANT ", IF(NOT(ISERROR(FIND("H",C11,1))), CONCATENATE("EXECUTE ON XML SCHEMA COLLECTION::",IF(ISERROR(FIND("[",$A11,1)),"[",""), $A11, IF(ISERROR(FIND("]",$A11,1)),"]",""), ".", IF(ISERROR(FIND("[",$B11,1)),"[",""), $B11, IF(ISERROR(FIND("]",$B11,1)),"]","")),IF(NOT(ISERROR(FIND("N",C11,1))), CONCATENATE("SEND ON SERVICE::",IF(ISERROR(FIND("[",$B11,1)),"[",""), $B11, IF(ISERROR(FIND("]",$B11,1)),"]","")),CONCATENATE(LEFT(CONCATENATE(IF(ISERROR(FIND("V",C11,1)),"","RECEIVE, "), IF(ISERROR(FIND("C",C11,1)),"","INSERT, "),IF(ISERROR(FIND("R",C11,1)),"","SELECT, "), IF(ISERROR(FIND("U",C11,1)),"","UPDATE, "),IF(ISERROR(FIND("D",C11,1)),"","DELETE, "), IF(ISERROR(FIND("X",C11,1)),"","EXECUTE, "), IF(ISERROR(FIND("F",C11,1)),"","REFERENCES")),IF(ISERROR(FIND("F",C11,1)), LEN(CONCATENATE(IF(ISERROR(FIND("V",C11,1)),"","RECEIVE, "), IF(ISERROR(FIND("C",C11,1)),"","INSERT, "),IF(ISERROR(FIND("R",C11,1)),"","SELECT, "), IF(ISERROR(FIND("U",C11,1)),"","UPDATE, "),IF(ISERROR(FIND("D",C11,1)),"","DELETE, "), IF(ISERROR(FIND("X",C11,1)),"","EXECUTE, ")))-2,LEN(CONCATENATE(IF(ISERROR(FIND("V",C11,1)),"","RECEIVE, "), IF(ISERROR(FIND("C",C11,1)),"","INSERT, "),IF(ISERROR(FIND("R",C11,1)),"","SELECT, "), IF(ISERROR(FIND("U",C11,1)),"","UPDATE, "),IF(ISERROR(FIND("D",C11,1)),"","DELETE, "), IF(ISERROR(FIND("X",C11,1)),"","EXECUTE, "),IF(ISERROR(FIND("F",C11,1)),"","REFERENCES"))))), " ON ",IF(ISERROR(FIND("[",$A11,1)),"[",""), $A11, IF(ISERROR(FIND("]",$A11,1)),"]",""), ".", IF(ISERROR(FIND("[",$B11,1)),"[",""), $B11, IF(ISERROR(FIND("]",$B11,1)),"]","")))), " TO ", IF(ISERROR(FIND("[",D$8,1)),"[",""), D$8, IF(ISERROR(FIND("]",D$8,1)),"]",""),";" ))</f>
        <v>GRANT INSERT, SELECT, UPDATE, DELETE, REFERENCES ON [Audit].[BitacoraDetail] TO [R_DemandaDW];</v>
      </c>
    </row>
    <row r="12" spans="1:11" ht="33.75" x14ac:dyDescent="0.2">
      <c r="A12" s="66" t="s">
        <v>119</v>
      </c>
      <c r="B12" s="66" t="s">
        <v>123</v>
      </c>
      <c r="C12" s="67" t="s">
        <v>121</v>
      </c>
      <c r="D12" s="68" t="str">
        <f>IF(OR($A12="", C12=""), "", CONCATENATE("GRANT ", IF(NOT(ISERROR(FIND("H",C12,1))), CONCATENATE("EXECUTE ON XML SCHEMA COLLECTION::",IF(ISERROR(FIND("[",$A12,1)),"[",""), $A12, IF(ISERROR(FIND("]",$A12,1)),"]",""), ".", IF(ISERROR(FIND("[",$B12,1)),"[",""), $B12, IF(ISERROR(FIND("]",$B12,1)),"]","")),IF(NOT(ISERROR(FIND("N",C12,1))), CONCATENATE("SEND ON SERVICE::",IF(ISERROR(FIND("[",$B12,1)),"[",""), $B12, IF(ISERROR(FIND("]",$B12,1)),"]","")),CONCATENATE(LEFT(CONCATENATE(IF(ISERROR(FIND("V",C12,1)),"","RECEIVE, "), IF(ISERROR(FIND("C",C12,1)),"","INSERT, "),IF(ISERROR(FIND("R",C12,1)),"","SELECT, "), IF(ISERROR(FIND("U",C12,1)),"","UPDATE, "),IF(ISERROR(FIND("D",C12,1)),"","DELETE, "), IF(ISERROR(FIND("X",C12,1)),"","EXECUTE, "), IF(ISERROR(FIND("F",C12,1)),"","REFERENCES")),IF(ISERROR(FIND("F",C12,1)), LEN(CONCATENATE(IF(ISERROR(FIND("V",C12,1)),"","RECEIVE, "), IF(ISERROR(FIND("C",C12,1)),"","INSERT, "),IF(ISERROR(FIND("R",C12,1)),"","SELECT, "), IF(ISERROR(FIND("U",C12,1)),"","UPDATE, "),IF(ISERROR(FIND("D",C12,1)),"","DELETE, "), IF(ISERROR(FIND("X",C12,1)),"","EXECUTE, ")))-2,LEN(CONCATENATE(IF(ISERROR(FIND("V",C12,1)),"","RECEIVE, "), IF(ISERROR(FIND("C",C12,1)),"","INSERT, "),IF(ISERROR(FIND("R",C12,1)),"","SELECT, "), IF(ISERROR(FIND("U",C12,1)),"","UPDATE, "),IF(ISERROR(FIND("D",C12,1)),"","DELETE, "), IF(ISERROR(FIND("X",C12,1)),"","EXECUTE, "),IF(ISERROR(FIND("F",C12,1)),"","REFERENCES"))))), " ON ",IF(ISERROR(FIND("[",$A12,1)),"[",""), $A12, IF(ISERROR(FIND("]",$A12,1)),"]",""), ".", IF(ISERROR(FIND("[",$B12,1)),"[",""), $B12, IF(ISERROR(FIND("]",$B12,1)),"]","")))), " TO ", IF(ISERROR(FIND("[",D$8,1)),"[",""), D$8, IF(ISERROR(FIND("]",D$8,1)),"]",""),";" ))</f>
        <v>GRANT INSERT, SELECT, UPDATE, DELETE, REFERENCES ON [Audit].[BitacoraFile] TO [R_DemandaDW];</v>
      </c>
    </row>
    <row r="13" spans="1:11" ht="33.75" x14ac:dyDescent="0.2">
      <c r="A13" s="66" t="s">
        <v>119</v>
      </c>
      <c r="B13" s="66" t="s">
        <v>124</v>
      </c>
      <c r="C13" s="67" t="s">
        <v>121</v>
      </c>
      <c r="D13" s="68" t="str">
        <f>IF(OR($A13="", C13=""), "", CONCATENATE("GRANT ", IF(NOT(ISERROR(FIND("H",C13,1))), CONCATENATE("EXECUTE ON XML SCHEMA COLLECTION::",IF(ISERROR(FIND("[",$A13,1)),"[",""), $A13, IF(ISERROR(FIND("]",$A13,1)),"]",""), ".", IF(ISERROR(FIND("[",$B13,1)),"[",""), $B13, IF(ISERROR(FIND("]",$B13,1)),"]","")),IF(NOT(ISERROR(FIND("N",C13,1))), CONCATENATE("SEND ON SERVICE::",IF(ISERROR(FIND("[",$B13,1)),"[",""), $B13, IF(ISERROR(FIND("]",$B13,1)),"]","")),CONCATENATE(LEFT(CONCATENATE(IF(ISERROR(FIND("V",C13,1)),"","RECEIVE, "), IF(ISERROR(FIND("C",C13,1)),"","INSERT, "),IF(ISERROR(FIND("R",C13,1)),"","SELECT, "), IF(ISERROR(FIND("U",C13,1)),"","UPDATE, "),IF(ISERROR(FIND("D",C13,1)),"","DELETE, "), IF(ISERROR(FIND("X",C13,1)),"","EXECUTE, "), IF(ISERROR(FIND("F",C13,1)),"","REFERENCES")),IF(ISERROR(FIND("F",C13,1)), LEN(CONCATENATE(IF(ISERROR(FIND("V",C13,1)),"","RECEIVE, "), IF(ISERROR(FIND("C",C13,1)),"","INSERT, "),IF(ISERROR(FIND("R",C13,1)),"","SELECT, "), IF(ISERROR(FIND("U",C13,1)),"","UPDATE, "),IF(ISERROR(FIND("D",C13,1)),"","DELETE, "), IF(ISERROR(FIND("X",C13,1)),"","EXECUTE, ")))-2,LEN(CONCATENATE(IF(ISERROR(FIND("V",C13,1)),"","RECEIVE, "), IF(ISERROR(FIND("C",C13,1)),"","INSERT, "),IF(ISERROR(FIND("R",C13,1)),"","SELECT, "), IF(ISERROR(FIND("U",C13,1)),"","UPDATE, "),IF(ISERROR(FIND("D",C13,1)),"","DELETE, "), IF(ISERROR(FIND("X",C13,1)),"","EXECUTE, "),IF(ISERROR(FIND("F",C13,1)),"","REFERENCES"))))), " ON ",IF(ISERROR(FIND("[",$A13,1)),"[",""), $A13, IF(ISERROR(FIND("]",$A13,1)),"]",""), ".", IF(ISERROR(FIND("[",$B13,1)),"[",""), $B13, IF(ISERROR(FIND("]",$B13,1)),"]","")))), " TO ", IF(ISERROR(FIND("[",D$8,1)),"[",""), D$8, IF(ISERROR(FIND("]",D$8,1)),"]",""),";" ))</f>
        <v>GRANT INSERT, SELECT, UPDATE, DELETE, REFERENCES ON [Audit].[BitacoraState] TO [R_DemandaDW];</v>
      </c>
    </row>
    <row r="14" spans="1:11" ht="33.75" x14ac:dyDescent="0.2">
      <c r="A14" s="66" t="s">
        <v>119</v>
      </c>
      <c r="B14" s="66" t="s">
        <v>125</v>
      </c>
      <c r="C14" s="67" t="s">
        <v>121</v>
      </c>
      <c r="D14" s="68" t="str">
        <f>IF(OR($A14="", C14=""), "", CONCATENATE("GRANT ", IF(NOT(ISERROR(FIND("H",C14,1))), CONCATENATE("EXECUTE ON XML SCHEMA COLLECTION::",IF(ISERROR(FIND("[",$A14,1)),"[",""), $A14, IF(ISERROR(FIND("]",$A14,1)),"]",""), ".", IF(ISERROR(FIND("[",$B14,1)),"[",""), $B14, IF(ISERROR(FIND("]",$B14,1)),"]","")),IF(NOT(ISERROR(FIND("N",C14,1))), CONCATENATE("SEND ON SERVICE::",IF(ISERROR(FIND("[",$B14,1)),"[",""), $B14, IF(ISERROR(FIND("]",$B14,1)),"]","")),CONCATENATE(LEFT(CONCATENATE(IF(ISERROR(FIND("V",C14,1)),"","RECEIVE, "), IF(ISERROR(FIND("C",C14,1)),"","INSERT, "),IF(ISERROR(FIND("R",C14,1)),"","SELECT, "), IF(ISERROR(FIND("U",C14,1)),"","UPDATE, "),IF(ISERROR(FIND("D",C14,1)),"","DELETE, "), IF(ISERROR(FIND("X",C14,1)),"","EXECUTE, "), IF(ISERROR(FIND("F",C14,1)),"","REFERENCES")),IF(ISERROR(FIND("F",C14,1)), LEN(CONCATENATE(IF(ISERROR(FIND("V",C14,1)),"","RECEIVE, "), IF(ISERROR(FIND("C",C14,1)),"","INSERT, "),IF(ISERROR(FIND("R",C14,1)),"","SELECT, "), IF(ISERROR(FIND("U",C14,1)),"","UPDATE, "),IF(ISERROR(FIND("D",C14,1)),"","DELETE, "), IF(ISERROR(FIND("X",C14,1)),"","EXECUTE, ")))-2,LEN(CONCATENATE(IF(ISERROR(FIND("V",C14,1)),"","RECEIVE, "), IF(ISERROR(FIND("C",C14,1)),"","INSERT, "),IF(ISERROR(FIND("R",C14,1)),"","SELECT, "), IF(ISERROR(FIND("U",C14,1)),"","UPDATE, "),IF(ISERROR(FIND("D",C14,1)),"","DELETE, "), IF(ISERROR(FIND("X",C14,1)),"","EXECUTE, "),IF(ISERROR(FIND("F",C14,1)),"","REFERENCES"))))), " ON ",IF(ISERROR(FIND("[",$A14,1)),"[",""), $A14, IF(ISERROR(FIND("]",$A14,1)),"]",""), ".", IF(ISERROR(FIND("[",$B14,1)),"[",""), $B14, IF(ISERROR(FIND("]",$B14,1)),"]","")))), " TO ", IF(ISERROR(FIND("[",D$8,1)),"[",""), D$8, IF(ISERROR(FIND("]",D$8,1)),"]",""),";" ))</f>
        <v>GRANT INSERT, SELECT, UPDATE, DELETE, REFERENCES ON [Audit].[BitacoraStatistic] TO [R_DemandaDW];</v>
      </c>
    </row>
    <row r="15" spans="1:11" ht="33.75" x14ac:dyDescent="0.2">
      <c r="A15" s="66" t="s">
        <v>119</v>
      </c>
      <c r="B15" s="66" t="s">
        <v>126</v>
      </c>
      <c r="C15" s="67" t="s">
        <v>121</v>
      </c>
      <c r="D15" s="68" t="str">
        <f>IF(OR($A15="", C15=""), "", CONCATENATE("GRANT ", IF(NOT(ISERROR(FIND("H",C15,1))), CONCATENATE("EXECUTE ON XML SCHEMA COLLECTION::",IF(ISERROR(FIND("[",$A15,1)),"[",""), $A15, IF(ISERROR(FIND("]",$A15,1)),"]",""), ".", IF(ISERROR(FIND("[",$B15,1)),"[",""), $B15, IF(ISERROR(FIND("]",$B15,1)),"]","")),IF(NOT(ISERROR(FIND("N",C15,1))), CONCATENATE("SEND ON SERVICE::",IF(ISERROR(FIND("[",$B15,1)),"[",""), $B15, IF(ISERROR(FIND("]",$B15,1)),"]","")),CONCATENATE(LEFT(CONCATENATE(IF(ISERROR(FIND("V",C15,1)),"","RECEIVE, "), IF(ISERROR(FIND("C",C15,1)),"","INSERT, "),IF(ISERROR(FIND("R",C15,1)),"","SELECT, "), IF(ISERROR(FIND("U",C15,1)),"","UPDATE, "),IF(ISERROR(FIND("D",C15,1)),"","DELETE, "), IF(ISERROR(FIND("X",C15,1)),"","EXECUTE, "), IF(ISERROR(FIND("F",C15,1)),"","REFERENCES")),IF(ISERROR(FIND("F",C15,1)), LEN(CONCATENATE(IF(ISERROR(FIND("V",C15,1)),"","RECEIVE, "), IF(ISERROR(FIND("C",C15,1)),"","INSERT, "),IF(ISERROR(FIND("R",C15,1)),"","SELECT, "), IF(ISERROR(FIND("U",C15,1)),"","UPDATE, "),IF(ISERROR(FIND("D",C15,1)),"","DELETE, "), IF(ISERROR(FIND("X",C15,1)),"","EXECUTE, ")))-2,LEN(CONCATENATE(IF(ISERROR(FIND("V",C15,1)),"","RECEIVE, "), IF(ISERROR(FIND("C",C15,1)),"","INSERT, "),IF(ISERROR(FIND("R",C15,1)),"","SELECT, "), IF(ISERROR(FIND("U",C15,1)),"","UPDATE, "),IF(ISERROR(FIND("D",C15,1)),"","DELETE, "), IF(ISERROR(FIND("X",C15,1)),"","EXECUTE, "),IF(ISERROR(FIND("F",C15,1)),"","REFERENCES"))))), " ON ",IF(ISERROR(FIND("[",$A15,1)),"[",""), $A15, IF(ISERROR(FIND("]",$A15,1)),"]",""), ".", IF(ISERROR(FIND("[",$B15,1)),"[",""), $B15, IF(ISERROR(FIND("]",$B15,1)),"]","")))), " TO ", IF(ISERROR(FIND("[",D$8,1)),"[",""), D$8, IF(ISERROR(FIND("]",D$8,1)),"]",""),";" ))</f>
        <v>GRANT INSERT, SELECT, UPDATE, DELETE, REFERENCES ON [Audit].[BitacoraTable] TO [R_DemandaDW];</v>
      </c>
    </row>
    <row r="16" spans="1:11" ht="33.75" x14ac:dyDescent="0.2">
      <c r="A16" s="66" t="s">
        <v>119</v>
      </c>
      <c r="B16" s="66" t="s">
        <v>127</v>
      </c>
      <c r="C16" s="67" t="s">
        <v>121</v>
      </c>
      <c r="D16" s="68" t="str">
        <f>IF(OR($A16="", C16=""), "", CONCATENATE("GRANT ", IF(NOT(ISERROR(FIND("H",C16,1))), CONCATENATE("EXECUTE ON XML SCHEMA COLLECTION::",IF(ISERROR(FIND("[",$A16,1)),"[",""), $A16, IF(ISERROR(FIND("]",$A16,1)),"]",""), ".", IF(ISERROR(FIND("[",$B16,1)),"[",""), $B16, IF(ISERROR(FIND("]",$B16,1)),"]","")),IF(NOT(ISERROR(FIND("N",C16,1))), CONCATENATE("SEND ON SERVICE::",IF(ISERROR(FIND("[",$B16,1)),"[",""), $B16, IF(ISERROR(FIND("]",$B16,1)),"]","")),CONCATENATE(LEFT(CONCATENATE(IF(ISERROR(FIND("V",C16,1)),"","RECEIVE, "), IF(ISERROR(FIND("C",C16,1)),"","INSERT, "),IF(ISERROR(FIND("R",C16,1)),"","SELECT, "), IF(ISERROR(FIND("U",C16,1)),"","UPDATE, "),IF(ISERROR(FIND("D",C16,1)),"","DELETE, "), IF(ISERROR(FIND("X",C16,1)),"","EXECUTE, "), IF(ISERROR(FIND("F",C16,1)),"","REFERENCES")),IF(ISERROR(FIND("F",C16,1)), LEN(CONCATENATE(IF(ISERROR(FIND("V",C16,1)),"","RECEIVE, "), IF(ISERROR(FIND("C",C16,1)),"","INSERT, "),IF(ISERROR(FIND("R",C16,1)),"","SELECT, "), IF(ISERROR(FIND("U",C16,1)),"","UPDATE, "),IF(ISERROR(FIND("D",C16,1)),"","DELETE, "), IF(ISERROR(FIND("X",C16,1)),"","EXECUTE, ")))-2,LEN(CONCATENATE(IF(ISERROR(FIND("V",C16,1)),"","RECEIVE, "), IF(ISERROR(FIND("C",C16,1)),"","INSERT, "),IF(ISERROR(FIND("R",C16,1)),"","SELECT, "), IF(ISERROR(FIND("U",C16,1)),"","UPDATE, "),IF(ISERROR(FIND("D",C16,1)),"","DELETE, "), IF(ISERROR(FIND("X",C16,1)),"","EXECUTE, "),IF(ISERROR(FIND("F",C16,1)),"","REFERENCES"))))), " ON ",IF(ISERROR(FIND("[",$A16,1)),"[",""), $A16, IF(ISERROR(FIND("]",$A16,1)),"]",""), ".", IF(ISERROR(FIND("[",$B16,1)),"[",""), $B16, IF(ISERROR(FIND("]",$B16,1)),"]","")))), " TO ", IF(ISERROR(FIND("[",D$8,1)),"[",""), D$8, IF(ISERROR(FIND("]",D$8,1)),"]",""),";" ))</f>
        <v>GRANT INSERT, SELECT, UPDATE, DELETE, REFERENCES ON [Audit].[BitacoraType] TO [R_DemandaDW];</v>
      </c>
    </row>
    <row r="17" spans="1:4" ht="33.75" x14ac:dyDescent="0.2">
      <c r="A17" s="66" t="s">
        <v>129</v>
      </c>
      <c r="B17" s="66" t="s">
        <v>130</v>
      </c>
      <c r="C17" s="67" t="s">
        <v>121</v>
      </c>
      <c r="D17" s="68" t="str">
        <f>IF(OR($A17="", C17=""), "", CONCATENATE("GRANT ", IF(NOT(ISERROR(FIND("H",C17,1))), CONCATENATE("EXECUTE ON XML SCHEMA COLLECTION::",IF(ISERROR(FIND("[",$A17,1)),"[",""), $A17, IF(ISERROR(FIND("]",$A17,1)),"]",""), ".", IF(ISERROR(FIND("[",$B17,1)),"[",""), $B17, IF(ISERROR(FIND("]",$B17,1)),"]","")),IF(NOT(ISERROR(FIND("N",C17,1))), CONCATENATE("SEND ON SERVICE::",IF(ISERROR(FIND("[",$B17,1)),"[",""), $B17, IF(ISERROR(FIND("]",$B17,1)),"]","")),CONCATENATE(LEFT(CONCATENATE(IF(ISERROR(FIND("V",C17,1)),"","RECEIVE, "), IF(ISERROR(FIND("C",C17,1)),"","INSERT, "),IF(ISERROR(FIND("R",C17,1)),"","SELECT, "), IF(ISERROR(FIND("U",C17,1)),"","UPDATE, "),IF(ISERROR(FIND("D",C17,1)),"","DELETE, "), IF(ISERROR(FIND("X",C17,1)),"","EXECUTE, "), IF(ISERROR(FIND("F",C17,1)),"","REFERENCES")),IF(ISERROR(FIND("F",C17,1)), LEN(CONCATENATE(IF(ISERROR(FIND("V",C17,1)),"","RECEIVE, "), IF(ISERROR(FIND("C",C17,1)),"","INSERT, "),IF(ISERROR(FIND("R",C17,1)),"","SELECT, "), IF(ISERROR(FIND("U",C17,1)),"","UPDATE, "),IF(ISERROR(FIND("D",C17,1)),"","DELETE, "), IF(ISERROR(FIND("X",C17,1)),"","EXECUTE, ")))-2,LEN(CONCATENATE(IF(ISERROR(FIND("V",C17,1)),"","RECEIVE, "), IF(ISERROR(FIND("C",C17,1)),"","INSERT, "),IF(ISERROR(FIND("R",C17,1)),"","SELECT, "), IF(ISERROR(FIND("U",C17,1)),"","UPDATE, "),IF(ISERROR(FIND("D",C17,1)),"","DELETE, "), IF(ISERROR(FIND("X",C17,1)),"","EXECUTE, "),IF(ISERROR(FIND("F",C17,1)),"","REFERENCES"))))), " ON ",IF(ISERROR(FIND("[",$A17,1)),"[",""), $A17, IF(ISERROR(FIND("]",$A17,1)),"]",""), ".", IF(ISERROR(FIND("[",$B17,1)),"[",""), $B17, IF(ISERROR(FIND("]",$B17,1)),"]","")))), " TO ", IF(ISERROR(FIND("[",D$8,1)),"[",""), D$8, IF(ISERROR(FIND("]",D$8,1)),"]",""),";" ))</f>
        <v>GRANT INSERT, SELECT, UPDATE, DELETE, REFERENCES ON [DW].[DimAgente] TO [R_DemandaDW];</v>
      </c>
    </row>
    <row r="18" spans="1:4" ht="33.75" x14ac:dyDescent="0.2">
      <c r="A18" s="66" t="s">
        <v>129</v>
      </c>
      <c r="B18" s="66" t="s">
        <v>131</v>
      </c>
      <c r="C18" s="67" t="s">
        <v>121</v>
      </c>
      <c r="D18" s="68" t="str">
        <f>IF(OR($A18="", C18=""), "", CONCATENATE("GRANT ", IF(NOT(ISERROR(FIND("H",C18,1))), CONCATENATE("EXECUTE ON XML SCHEMA COLLECTION::",IF(ISERROR(FIND("[",$A18,1)),"[",""), $A18, IF(ISERROR(FIND("]",$A18,1)),"]",""), ".", IF(ISERROR(FIND("[",$B18,1)),"[",""), $B18, IF(ISERROR(FIND("]",$B18,1)),"]","")),IF(NOT(ISERROR(FIND("N",C18,1))), CONCATENATE("SEND ON SERVICE::",IF(ISERROR(FIND("[",$B18,1)),"[",""), $B18, IF(ISERROR(FIND("]",$B18,1)),"]","")),CONCATENATE(LEFT(CONCATENATE(IF(ISERROR(FIND("V",C18,1)),"","RECEIVE, "), IF(ISERROR(FIND("C",C18,1)),"","INSERT, "),IF(ISERROR(FIND("R",C18,1)),"","SELECT, "), IF(ISERROR(FIND("U",C18,1)),"","UPDATE, "),IF(ISERROR(FIND("D",C18,1)),"","DELETE, "), IF(ISERROR(FIND("X",C18,1)),"","EXECUTE, "), IF(ISERROR(FIND("F",C18,1)),"","REFERENCES")),IF(ISERROR(FIND("F",C18,1)), LEN(CONCATENATE(IF(ISERROR(FIND("V",C18,1)),"","RECEIVE, "), IF(ISERROR(FIND("C",C18,1)),"","INSERT, "),IF(ISERROR(FIND("R",C18,1)),"","SELECT, "), IF(ISERROR(FIND("U",C18,1)),"","UPDATE, "),IF(ISERROR(FIND("D",C18,1)),"","DELETE, "), IF(ISERROR(FIND("X",C18,1)),"","EXECUTE, ")))-2,LEN(CONCATENATE(IF(ISERROR(FIND("V",C18,1)),"","RECEIVE, "), IF(ISERROR(FIND("C",C18,1)),"","INSERT, "),IF(ISERROR(FIND("R",C18,1)),"","SELECT, "), IF(ISERROR(FIND("U",C18,1)),"","UPDATE, "),IF(ISERROR(FIND("D",C18,1)),"","DELETE, "), IF(ISERROR(FIND("X",C18,1)),"","EXECUTE, "),IF(ISERROR(FIND("F",C18,1)),"","REFERENCES"))))), " ON ",IF(ISERROR(FIND("[",$A18,1)),"[",""), $A18, IF(ISERROR(FIND("]",$A18,1)),"]",""), ".", IF(ISERROR(FIND("[",$B18,1)),"[",""), $B18, IF(ISERROR(FIND("]",$B18,1)),"]","")))), " TO ", IF(ISERROR(FIND("[",D$8,1)),"[",""), D$8, IF(ISERROR(FIND("]",D$8,1)),"]",""),";" ))</f>
        <v>GRANT INSERT, SELECT, UPDATE, DELETE, REFERENCES ON [DW].[DimCompania] TO [R_DemandaDW];</v>
      </c>
    </row>
    <row r="19" spans="1:4" ht="33.75" x14ac:dyDescent="0.2">
      <c r="A19" s="66" t="s">
        <v>129</v>
      </c>
      <c r="B19" s="66" t="s">
        <v>132</v>
      </c>
      <c r="C19" s="67" t="s">
        <v>121</v>
      </c>
      <c r="D19" s="68" t="str">
        <f>IF(OR($A19="", C19=""), "", CONCATENATE("GRANT ", IF(NOT(ISERROR(FIND("H",C19,1))), CONCATENATE("EXECUTE ON XML SCHEMA COLLECTION::",IF(ISERROR(FIND("[",$A19,1)),"[",""), $A19, IF(ISERROR(FIND("]",$A19,1)),"]",""), ".", IF(ISERROR(FIND("[",$B19,1)),"[",""), $B19, IF(ISERROR(FIND("]",$B19,1)),"]","")),IF(NOT(ISERROR(FIND("N",C19,1))), CONCATENATE("SEND ON SERVICE::",IF(ISERROR(FIND("[",$B19,1)),"[",""), $B19, IF(ISERROR(FIND("]",$B19,1)),"]","")),CONCATENATE(LEFT(CONCATENATE(IF(ISERROR(FIND("V",C19,1)),"","RECEIVE, "), IF(ISERROR(FIND("C",C19,1)),"","INSERT, "),IF(ISERROR(FIND("R",C19,1)),"","SELECT, "), IF(ISERROR(FIND("U",C19,1)),"","UPDATE, "),IF(ISERROR(FIND("D",C19,1)),"","DELETE, "), IF(ISERROR(FIND("X",C19,1)),"","EXECUTE, "), IF(ISERROR(FIND("F",C19,1)),"","REFERENCES")),IF(ISERROR(FIND("F",C19,1)), LEN(CONCATENATE(IF(ISERROR(FIND("V",C19,1)),"","RECEIVE, "), IF(ISERROR(FIND("C",C19,1)),"","INSERT, "),IF(ISERROR(FIND("R",C19,1)),"","SELECT, "), IF(ISERROR(FIND("U",C19,1)),"","UPDATE, "),IF(ISERROR(FIND("D",C19,1)),"","DELETE, "), IF(ISERROR(FIND("X",C19,1)),"","EXECUTE, ")))-2,LEN(CONCATENATE(IF(ISERROR(FIND("V",C19,1)),"","RECEIVE, "), IF(ISERROR(FIND("C",C19,1)),"","INSERT, "),IF(ISERROR(FIND("R",C19,1)),"","SELECT, "), IF(ISERROR(FIND("U",C19,1)),"","UPDATE, "),IF(ISERROR(FIND("D",C19,1)),"","DELETE, "), IF(ISERROR(FIND("X",C19,1)),"","EXECUTE, "),IF(ISERROR(FIND("F",C19,1)),"","REFERENCES"))))), " ON ",IF(ISERROR(FIND("[",$A19,1)),"[",""), $A19, IF(ISERROR(FIND("]",$A19,1)),"]",""), ".", IF(ISERROR(FIND("[",$B19,1)),"[",""), $B19, IF(ISERROR(FIND("]",$B19,1)),"]","")))), " TO ", IF(ISERROR(FIND("[",D$8,1)),"[",""), D$8, IF(ISERROR(FIND("]",D$8,1)),"]",""),";" ))</f>
        <v>GRANT INSERT, SELECT, UPDATE, DELETE, REFERENCES ON [DW].[DimFecha] TO [R_DemandaDW];</v>
      </c>
    </row>
    <row r="20" spans="1:4" ht="33.75" x14ac:dyDescent="0.2">
      <c r="A20" s="66" t="s">
        <v>129</v>
      </c>
      <c r="B20" s="66" t="s">
        <v>133</v>
      </c>
      <c r="C20" s="67" t="s">
        <v>121</v>
      </c>
      <c r="D20" s="68" t="str">
        <f>IF(OR($A20="", C20=""), "", CONCATENATE("GRANT ", IF(NOT(ISERROR(FIND("H",C20,1))), CONCATENATE("EXECUTE ON XML SCHEMA COLLECTION::",IF(ISERROR(FIND("[",$A20,1)),"[",""), $A20, IF(ISERROR(FIND("]",$A20,1)),"]",""), ".", IF(ISERROR(FIND("[",$B20,1)),"[",""), $B20, IF(ISERROR(FIND("]",$B20,1)),"]","")),IF(NOT(ISERROR(FIND("N",C20,1))), CONCATENATE("SEND ON SERVICE::",IF(ISERROR(FIND("[",$B20,1)),"[",""), $B20, IF(ISERROR(FIND("]",$B20,1)),"]","")),CONCATENATE(LEFT(CONCATENATE(IF(ISERROR(FIND("V",C20,1)),"","RECEIVE, "), IF(ISERROR(FIND("C",C20,1)),"","INSERT, "),IF(ISERROR(FIND("R",C20,1)),"","SELECT, "), IF(ISERROR(FIND("U",C20,1)),"","UPDATE, "),IF(ISERROR(FIND("D",C20,1)),"","DELETE, "), IF(ISERROR(FIND("X",C20,1)),"","EXECUTE, "), IF(ISERROR(FIND("F",C20,1)),"","REFERENCES")),IF(ISERROR(FIND("F",C20,1)), LEN(CONCATENATE(IF(ISERROR(FIND("V",C20,1)),"","RECEIVE, "), IF(ISERROR(FIND("C",C20,1)),"","INSERT, "),IF(ISERROR(FIND("R",C20,1)),"","SELECT, "), IF(ISERROR(FIND("U",C20,1)),"","UPDATE, "),IF(ISERROR(FIND("D",C20,1)),"","DELETE, "), IF(ISERROR(FIND("X",C20,1)),"","EXECUTE, ")))-2,LEN(CONCATENATE(IF(ISERROR(FIND("V",C20,1)),"","RECEIVE, "), IF(ISERROR(FIND("C",C20,1)),"","INSERT, "),IF(ISERROR(FIND("R",C20,1)),"","SELECT, "), IF(ISERROR(FIND("U",C20,1)),"","UPDATE, "),IF(ISERROR(FIND("D",C20,1)),"","DELETE, "), IF(ISERROR(FIND("X",C20,1)),"","EXECUTE, "),IF(ISERROR(FIND("F",C20,1)),"","REFERENCES"))))), " ON ",IF(ISERROR(FIND("[",$A20,1)),"[",""), $A20, IF(ISERROR(FIND("]",$A20,1)),"]",""), ".", IF(ISERROR(FIND("[",$B20,1)),"[",""), $B20, IF(ISERROR(FIND("]",$B20,1)),"]","")))), " TO ", IF(ISERROR(FIND("[",D$8,1)),"[",""), D$8, IF(ISERROR(FIND("]",D$8,1)),"]",""),";" ))</f>
        <v>GRANT INSERT, SELECT, UPDATE, DELETE, REFERENCES ON [DW].[DimGeografia] TO [R_DemandaDW];</v>
      </c>
    </row>
    <row r="21" spans="1:4" ht="33.75" x14ac:dyDescent="0.2">
      <c r="A21" s="66" t="s">
        <v>129</v>
      </c>
      <c r="B21" s="66" t="s">
        <v>134</v>
      </c>
      <c r="C21" s="67" t="s">
        <v>121</v>
      </c>
      <c r="D21" s="68" t="str">
        <f>IF(OR($A21="", C21=""), "", CONCATENATE("GRANT ", IF(NOT(ISERROR(FIND("H",C21,1))), CONCATENATE("EXECUTE ON XML SCHEMA COLLECTION::",IF(ISERROR(FIND("[",$A21,1)),"[",""), $A21, IF(ISERROR(FIND("]",$A21,1)),"]",""), ".", IF(ISERROR(FIND("[",$B21,1)),"[",""), $B21, IF(ISERROR(FIND("]",$B21,1)),"]","")),IF(NOT(ISERROR(FIND("N",C21,1))), CONCATENATE("SEND ON SERVICE::",IF(ISERROR(FIND("[",$B21,1)),"[",""), $B21, IF(ISERROR(FIND("]",$B21,1)),"]","")),CONCATENATE(LEFT(CONCATENATE(IF(ISERROR(FIND("V",C21,1)),"","RECEIVE, "), IF(ISERROR(FIND("C",C21,1)),"","INSERT, "),IF(ISERROR(FIND("R",C21,1)),"","SELECT, "), IF(ISERROR(FIND("U",C21,1)),"","UPDATE, "),IF(ISERROR(FIND("D",C21,1)),"","DELETE, "), IF(ISERROR(FIND("X",C21,1)),"","EXECUTE, "), IF(ISERROR(FIND("F",C21,1)),"","REFERENCES")),IF(ISERROR(FIND("F",C21,1)), LEN(CONCATENATE(IF(ISERROR(FIND("V",C21,1)),"","RECEIVE, "), IF(ISERROR(FIND("C",C21,1)),"","INSERT, "),IF(ISERROR(FIND("R",C21,1)),"","SELECT, "), IF(ISERROR(FIND("U",C21,1)),"","UPDATE, "),IF(ISERROR(FIND("D",C21,1)),"","DELETE, "), IF(ISERROR(FIND("X",C21,1)),"","EXECUTE, ")))-2,LEN(CONCATENATE(IF(ISERROR(FIND("V",C21,1)),"","RECEIVE, "), IF(ISERROR(FIND("C",C21,1)),"","INSERT, "),IF(ISERROR(FIND("R",C21,1)),"","SELECT, "), IF(ISERROR(FIND("U",C21,1)),"","UPDATE, "),IF(ISERROR(FIND("D",C21,1)),"","DELETE, "), IF(ISERROR(FIND("X",C21,1)),"","EXECUTE, "),IF(ISERROR(FIND("F",C21,1)),"","REFERENCES"))))), " ON ",IF(ISERROR(FIND("[",$A21,1)),"[",""), $A21, IF(ISERROR(FIND("]",$A21,1)),"]",""), ".", IF(ISERROR(FIND("[",$B21,1)),"[",""), $B21, IF(ISERROR(FIND("]",$B21,1)),"]","")))), " TO ", IF(ISERROR(FIND("[",D$8,1)),"[",""), D$8, IF(ISERROR(FIND("]",D$8,1)),"]",""),";" ))</f>
        <v>GRANT INSERT, SELECT, UPDATE, DELETE, REFERENCES ON [DW].[DimMercado] TO [R_DemandaDW];</v>
      </c>
    </row>
    <row r="22" spans="1:4" ht="33.75" x14ac:dyDescent="0.2">
      <c r="A22" s="66" t="s">
        <v>129</v>
      </c>
      <c r="B22" s="66" t="s">
        <v>135</v>
      </c>
      <c r="C22" s="67" t="s">
        <v>121</v>
      </c>
      <c r="D22" s="68" t="str">
        <f>IF(OR($A22="", C22=""), "", CONCATENATE("GRANT ", IF(NOT(ISERROR(FIND("H",C22,1))), CONCATENATE("EXECUTE ON XML SCHEMA COLLECTION::",IF(ISERROR(FIND("[",$A22,1)),"[",""), $A22, IF(ISERROR(FIND("]",$A22,1)),"]",""), ".", IF(ISERROR(FIND("[",$B22,1)),"[",""), $B22, IF(ISERROR(FIND("]",$B22,1)),"]","")),IF(NOT(ISERROR(FIND("N",C22,1))), CONCATENATE("SEND ON SERVICE::",IF(ISERROR(FIND("[",$B22,1)),"[",""), $B22, IF(ISERROR(FIND("]",$B22,1)),"]","")),CONCATENATE(LEFT(CONCATENATE(IF(ISERROR(FIND("V",C22,1)),"","RECEIVE, "), IF(ISERROR(FIND("C",C22,1)),"","INSERT, "),IF(ISERROR(FIND("R",C22,1)),"","SELECT, "), IF(ISERROR(FIND("U",C22,1)),"","UPDATE, "),IF(ISERROR(FIND("D",C22,1)),"","DELETE, "), IF(ISERROR(FIND("X",C22,1)),"","EXECUTE, "), IF(ISERROR(FIND("F",C22,1)),"","REFERENCES")),IF(ISERROR(FIND("F",C22,1)), LEN(CONCATENATE(IF(ISERROR(FIND("V",C22,1)),"","RECEIVE, "), IF(ISERROR(FIND("C",C22,1)),"","INSERT, "),IF(ISERROR(FIND("R",C22,1)),"","SELECT, "), IF(ISERROR(FIND("U",C22,1)),"","UPDATE, "),IF(ISERROR(FIND("D",C22,1)),"","DELETE, "), IF(ISERROR(FIND("X",C22,1)),"","EXECUTE, ")))-2,LEN(CONCATENATE(IF(ISERROR(FIND("V",C22,1)),"","RECEIVE, "), IF(ISERROR(FIND("C",C22,1)),"","INSERT, "),IF(ISERROR(FIND("R",C22,1)),"","SELECT, "), IF(ISERROR(FIND("U",C22,1)),"","UPDATE, "),IF(ISERROR(FIND("D",C22,1)),"","DELETE, "), IF(ISERROR(FIND("X",C22,1)),"","EXECUTE, "),IF(ISERROR(FIND("F",C22,1)),"","REFERENCES"))))), " ON ",IF(ISERROR(FIND("[",$A22,1)),"[",""), $A22, IF(ISERROR(FIND("]",$A22,1)),"]",""), ".", IF(ISERROR(FIND("[",$B22,1)),"[",""), $B22, IF(ISERROR(FIND("]",$B22,1)),"]","")))), " TO ", IF(ISERROR(FIND("[",D$8,1)),"[",""), D$8, IF(ISERROR(FIND("]",D$8,1)),"]",""),";" ))</f>
        <v>GRANT INSERT, SELECT, UPDATE, DELETE, REFERENCES ON [DW].[DimPeriodo] TO [R_DemandaDW];</v>
      </c>
    </row>
    <row r="23" spans="1:4" ht="33.75" x14ac:dyDescent="0.2">
      <c r="A23" s="66" t="s">
        <v>129</v>
      </c>
      <c r="B23" s="66" t="s">
        <v>136</v>
      </c>
      <c r="C23" s="67" t="s">
        <v>121</v>
      </c>
      <c r="D23" s="68" t="str">
        <f>IF(OR($A23="", C23=""), "", CONCATENATE("GRANT ", IF(NOT(ISERROR(FIND("H",C23,1))), CONCATENATE("EXECUTE ON XML SCHEMA COLLECTION::",IF(ISERROR(FIND("[",$A23,1)),"[",""), $A23, IF(ISERROR(FIND("]",$A23,1)),"]",""), ".", IF(ISERROR(FIND("[",$B23,1)),"[",""), $B23, IF(ISERROR(FIND("]",$B23,1)),"]","")),IF(NOT(ISERROR(FIND("N",C23,1))), CONCATENATE("SEND ON SERVICE::",IF(ISERROR(FIND("[",$B23,1)),"[",""), $B23, IF(ISERROR(FIND("]",$B23,1)),"]","")),CONCATENATE(LEFT(CONCATENATE(IF(ISERROR(FIND("V",C23,1)),"","RECEIVE, "), IF(ISERROR(FIND("C",C23,1)),"","INSERT, "),IF(ISERROR(FIND("R",C23,1)),"","SELECT, "), IF(ISERROR(FIND("U",C23,1)),"","UPDATE, "),IF(ISERROR(FIND("D",C23,1)),"","DELETE, "), IF(ISERROR(FIND("X",C23,1)),"","EXECUTE, "), IF(ISERROR(FIND("F",C23,1)),"","REFERENCES")),IF(ISERROR(FIND("F",C23,1)), LEN(CONCATENATE(IF(ISERROR(FIND("V",C23,1)),"","RECEIVE, "), IF(ISERROR(FIND("C",C23,1)),"","INSERT, "),IF(ISERROR(FIND("R",C23,1)),"","SELECT, "), IF(ISERROR(FIND("U",C23,1)),"","UPDATE, "),IF(ISERROR(FIND("D",C23,1)),"","DELETE, "), IF(ISERROR(FIND("X",C23,1)),"","EXECUTE, ")))-2,LEN(CONCATENATE(IF(ISERROR(FIND("V",C23,1)),"","RECEIVE, "), IF(ISERROR(FIND("C",C23,1)),"","INSERT, "),IF(ISERROR(FIND("R",C23,1)),"","SELECT, "), IF(ISERROR(FIND("U",C23,1)),"","UPDATE, "),IF(ISERROR(FIND("D",C23,1)),"","DELETE, "), IF(ISERROR(FIND("X",C23,1)),"","EXECUTE, "),IF(ISERROR(FIND("F",C23,1)),"","REFERENCES"))))), " ON ",IF(ISERROR(FIND("[",$A23,1)),"[",""), $A23, IF(ISERROR(FIND("]",$A23,1)),"]",""), ".", IF(ISERROR(FIND("[",$B23,1)),"[",""), $B23, IF(ISERROR(FIND("]",$B23,1)),"]","")))), " TO ", IF(ISERROR(FIND("[",D$8,1)),"[",""), D$8, IF(ISERROR(FIND("]",D$8,1)),"]",""),";" ))</f>
        <v>GRANT INSERT, SELECT, UPDATE, DELETE, REFERENCES ON [DW].[FactDemandaPerdida] TO [R_DemandaDW];</v>
      </c>
    </row>
    <row r="24" spans="1:4" ht="33.75" x14ac:dyDescent="0.2">
      <c r="A24" s="66" t="s">
        <v>137</v>
      </c>
      <c r="B24" s="66" t="s">
        <v>138</v>
      </c>
      <c r="C24" s="67" t="s">
        <v>121</v>
      </c>
      <c r="D24" s="68" t="str">
        <f>IF(OR($A24="", C24=""), "", CONCATENATE("GRANT ", IF(NOT(ISERROR(FIND("H",C24,1))), CONCATENATE("EXECUTE ON XML SCHEMA COLLECTION::",IF(ISERROR(FIND("[",$A24,1)),"[",""), $A24, IF(ISERROR(FIND("]",$A24,1)),"]",""), ".", IF(ISERROR(FIND("[",$B24,1)),"[",""), $B24, IF(ISERROR(FIND("]",$B24,1)),"]","")),IF(NOT(ISERROR(FIND("N",C24,1))), CONCATENATE("SEND ON SERVICE::",IF(ISERROR(FIND("[",$B24,1)),"[",""), $B24, IF(ISERROR(FIND("]",$B24,1)),"]","")),CONCATENATE(LEFT(CONCATENATE(IF(ISERROR(FIND("V",C24,1)),"","RECEIVE, "), IF(ISERROR(FIND("C",C24,1)),"","INSERT, "),IF(ISERROR(FIND("R",C24,1)),"","SELECT, "), IF(ISERROR(FIND("U",C24,1)),"","UPDATE, "),IF(ISERROR(FIND("D",C24,1)),"","DELETE, "), IF(ISERROR(FIND("X",C24,1)),"","EXECUTE, "), IF(ISERROR(FIND("F",C24,1)),"","REFERENCES")),IF(ISERROR(FIND("F",C24,1)), LEN(CONCATENATE(IF(ISERROR(FIND("V",C24,1)),"","RECEIVE, "), IF(ISERROR(FIND("C",C24,1)),"","INSERT, "),IF(ISERROR(FIND("R",C24,1)),"","SELECT, "), IF(ISERROR(FIND("U",C24,1)),"","UPDATE, "),IF(ISERROR(FIND("D",C24,1)),"","DELETE, "), IF(ISERROR(FIND("X",C24,1)),"","EXECUTE, ")))-2,LEN(CONCATENATE(IF(ISERROR(FIND("V",C24,1)),"","RECEIVE, "), IF(ISERROR(FIND("C",C24,1)),"","INSERT, "),IF(ISERROR(FIND("R",C24,1)),"","SELECT, "), IF(ISERROR(FIND("U",C24,1)),"","UPDATE, "),IF(ISERROR(FIND("D",C24,1)),"","DELETE, "), IF(ISERROR(FIND("X",C24,1)),"","EXECUTE, "),IF(ISERROR(FIND("F",C24,1)),"","REFERENCES"))))), " ON ",IF(ISERROR(FIND("[",$A24,1)),"[",""), $A24, IF(ISERROR(FIND("]",$A24,1)),"]",""), ".", IF(ISERROR(FIND("[",$B24,1)),"[",""), $B24, IF(ISERROR(FIND("]",$B24,1)),"]","")))), " TO ", IF(ISERROR(FIND("[",D$8,1)),"[",""), D$8, IF(ISERROR(FIND("]",D$8,1)),"]",""),";" ))</f>
        <v>GRANT INSERT, SELECT, UPDATE, DELETE, REFERENCES ON [Staging].[TmpDimAgente] TO [R_DemandaDW];</v>
      </c>
    </row>
    <row r="25" spans="1:4" ht="33.75" x14ac:dyDescent="0.2">
      <c r="A25" s="66" t="s">
        <v>137</v>
      </c>
      <c r="B25" s="66" t="s">
        <v>139</v>
      </c>
      <c r="C25" s="67" t="s">
        <v>121</v>
      </c>
      <c r="D25" s="68" t="str">
        <f>IF(OR($A25="", C25=""), "", CONCATENATE("GRANT ", IF(NOT(ISERROR(FIND("H",C25,1))), CONCATENATE("EXECUTE ON XML SCHEMA COLLECTION::",IF(ISERROR(FIND("[",$A25,1)),"[",""), $A25, IF(ISERROR(FIND("]",$A25,1)),"]",""), ".", IF(ISERROR(FIND("[",$B25,1)),"[",""), $B25, IF(ISERROR(FIND("]",$B25,1)),"]","")),IF(NOT(ISERROR(FIND("N",C25,1))), CONCATENATE("SEND ON SERVICE::",IF(ISERROR(FIND("[",$B25,1)),"[",""), $B25, IF(ISERROR(FIND("]",$B25,1)),"]","")),CONCATENATE(LEFT(CONCATENATE(IF(ISERROR(FIND("V",C25,1)),"","RECEIVE, "), IF(ISERROR(FIND("C",C25,1)),"","INSERT, "),IF(ISERROR(FIND("R",C25,1)),"","SELECT, "), IF(ISERROR(FIND("U",C25,1)),"","UPDATE, "),IF(ISERROR(FIND("D",C25,1)),"","DELETE, "), IF(ISERROR(FIND("X",C25,1)),"","EXECUTE, "), IF(ISERROR(FIND("F",C25,1)),"","REFERENCES")),IF(ISERROR(FIND("F",C25,1)), LEN(CONCATENATE(IF(ISERROR(FIND("V",C25,1)),"","RECEIVE, "), IF(ISERROR(FIND("C",C25,1)),"","INSERT, "),IF(ISERROR(FIND("R",C25,1)),"","SELECT, "), IF(ISERROR(FIND("U",C25,1)),"","UPDATE, "),IF(ISERROR(FIND("D",C25,1)),"","DELETE, "), IF(ISERROR(FIND("X",C25,1)),"","EXECUTE, ")))-2,LEN(CONCATENATE(IF(ISERROR(FIND("V",C25,1)),"","RECEIVE, "), IF(ISERROR(FIND("C",C25,1)),"","INSERT, "),IF(ISERROR(FIND("R",C25,1)),"","SELECT, "), IF(ISERROR(FIND("U",C25,1)),"","UPDATE, "),IF(ISERROR(FIND("D",C25,1)),"","DELETE, "), IF(ISERROR(FIND("X",C25,1)),"","EXECUTE, "),IF(ISERROR(FIND("F",C25,1)),"","REFERENCES"))))), " ON ",IF(ISERROR(FIND("[",$A25,1)),"[",""), $A25, IF(ISERROR(FIND("]",$A25,1)),"]",""), ".", IF(ISERROR(FIND("[",$B25,1)),"[",""), $B25, IF(ISERROR(FIND("]",$B25,1)),"]","")))), " TO ", IF(ISERROR(FIND("[",D$8,1)),"[",""), D$8, IF(ISERROR(FIND("]",D$8,1)),"]",""),";" ))</f>
        <v>GRANT INSERT, SELECT, UPDATE, DELETE, REFERENCES ON [Staging].[TmpDimCompania] TO [R_DemandaDW];</v>
      </c>
    </row>
    <row r="26" spans="1:4" ht="33.75" x14ac:dyDescent="0.2">
      <c r="A26" s="66" t="s">
        <v>137</v>
      </c>
      <c r="B26" s="66" t="s">
        <v>140</v>
      </c>
      <c r="C26" s="67" t="s">
        <v>121</v>
      </c>
      <c r="D26" s="68" t="str">
        <f>IF(OR($A26="", C26=""), "", CONCATENATE("GRANT ", IF(NOT(ISERROR(FIND("H",C26,1))), CONCATENATE("EXECUTE ON XML SCHEMA COLLECTION::",IF(ISERROR(FIND("[",$A26,1)),"[",""), $A26, IF(ISERROR(FIND("]",$A26,1)),"]",""), ".", IF(ISERROR(FIND("[",$B26,1)),"[",""), $B26, IF(ISERROR(FIND("]",$B26,1)),"]","")),IF(NOT(ISERROR(FIND("N",C26,1))), CONCATENATE("SEND ON SERVICE::",IF(ISERROR(FIND("[",$B26,1)),"[",""), $B26, IF(ISERROR(FIND("]",$B26,1)),"]","")),CONCATENATE(LEFT(CONCATENATE(IF(ISERROR(FIND("V",C26,1)),"","RECEIVE, "), IF(ISERROR(FIND("C",C26,1)),"","INSERT, "),IF(ISERROR(FIND("R",C26,1)),"","SELECT, "), IF(ISERROR(FIND("U",C26,1)),"","UPDATE, "),IF(ISERROR(FIND("D",C26,1)),"","DELETE, "), IF(ISERROR(FIND("X",C26,1)),"","EXECUTE, "), IF(ISERROR(FIND("F",C26,1)),"","REFERENCES")),IF(ISERROR(FIND("F",C26,1)), LEN(CONCATENATE(IF(ISERROR(FIND("V",C26,1)),"","RECEIVE, "), IF(ISERROR(FIND("C",C26,1)),"","INSERT, "),IF(ISERROR(FIND("R",C26,1)),"","SELECT, "), IF(ISERROR(FIND("U",C26,1)),"","UPDATE, "),IF(ISERROR(FIND("D",C26,1)),"","DELETE, "), IF(ISERROR(FIND("X",C26,1)),"","EXECUTE, ")))-2,LEN(CONCATENATE(IF(ISERROR(FIND("V",C26,1)),"","RECEIVE, "), IF(ISERROR(FIND("C",C26,1)),"","INSERT, "),IF(ISERROR(FIND("R",C26,1)),"","SELECT, "), IF(ISERROR(FIND("U",C26,1)),"","UPDATE, "),IF(ISERROR(FIND("D",C26,1)),"","DELETE, "), IF(ISERROR(FIND("X",C26,1)),"","EXECUTE, "),IF(ISERROR(FIND("F",C26,1)),"","REFERENCES"))))), " ON ",IF(ISERROR(FIND("[",$A26,1)),"[",""), $A26, IF(ISERROR(FIND("]",$A26,1)),"]",""), ".", IF(ISERROR(FIND("[",$B26,1)),"[",""), $B26, IF(ISERROR(FIND("]",$B26,1)),"]","")))), " TO ", IF(ISERROR(FIND("[",D$8,1)),"[",""), D$8, IF(ISERROR(FIND("]",D$8,1)),"]",""),";" ))</f>
        <v>GRANT INSERT, SELECT, UPDATE, DELETE, REFERENCES ON [Staging].[TmpDimGeografia] TO [R_DemandaDW];</v>
      </c>
    </row>
    <row r="27" spans="1:4" ht="45" x14ac:dyDescent="0.2">
      <c r="A27" s="66" t="s">
        <v>137</v>
      </c>
      <c r="B27" s="66" t="s">
        <v>141</v>
      </c>
      <c r="C27" s="67" t="s">
        <v>121</v>
      </c>
      <c r="D27" s="68" t="str">
        <f>IF(OR($A27="", C27=""), "", CONCATENATE("GRANT ", IF(NOT(ISERROR(FIND("H",C27,1))), CONCATENATE("EXECUTE ON XML SCHEMA COLLECTION::",IF(ISERROR(FIND("[",$A27,1)),"[",""), $A27, IF(ISERROR(FIND("]",$A27,1)),"]",""), ".", IF(ISERROR(FIND("[",$B27,1)),"[",""), $B27, IF(ISERROR(FIND("]",$B27,1)),"]","")),IF(NOT(ISERROR(FIND("N",C27,1))), CONCATENATE("SEND ON SERVICE::",IF(ISERROR(FIND("[",$B27,1)),"[",""), $B27, IF(ISERROR(FIND("]",$B27,1)),"]","")),CONCATENATE(LEFT(CONCATENATE(IF(ISERROR(FIND("V",C27,1)),"","RECEIVE, "), IF(ISERROR(FIND("C",C27,1)),"","INSERT, "),IF(ISERROR(FIND("R",C27,1)),"","SELECT, "), IF(ISERROR(FIND("U",C27,1)),"","UPDATE, "),IF(ISERROR(FIND("D",C27,1)),"","DELETE, "), IF(ISERROR(FIND("X",C27,1)),"","EXECUTE, "), IF(ISERROR(FIND("F",C27,1)),"","REFERENCES")),IF(ISERROR(FIND("F",C27,1)), LEN(CONCATENATE(IF(ISERROR(FIND("V",C27,1)),"","RECEIVE, "), IF(ISERROR(FIND("C",C27,1)),"","INSERT, "),IF(ISERROR(FIND("R",C27,1)),"","SELECT, "), IF(ISERROR(FIND("U",C27,1)),"","UPDATE, "),IF(ISERROR(FIND("D",C27,1)),"","DELETE, "), IF(ISERROR(FIND("X",C27,1)),"","EXECUTE, ")))-2,LEN(CONCATENATE(IF(ISERROR(FIND("V",C27,1)),"","RECEIVE, "), IF(ISERROR(FIND("C",C27,1)),"","INSERT, "),IF(ISERROR(FIND("R",C27,1)),"","SELECT, "), IF(ISERROR(FIND("U",C27,1)),"","UPDATE, "),IF(ISERROR(FIND("D",C27,1)),"","DELETE, "), IF(ISERROR(FIND("X",C27,1)),"","EXECUTE, "),IF(ISERROR(FIND("F",C27,1)),"","REFERENCES"))))), " ON ",IF(ISERROR(FIND("[",$A27,1)),"[",""), $A27, IF(ISERROR(FIND("]",$A27,1)),"]",""), ".", IF(ISERROR(FIND("[",$B27,1)),"[",""), $B27, IF(ISERROR(FIND("]",$B27,1)),"]","")))), " TO ", IF(ISERROR(FIND("[",D$8,1)),"[",""), D$8, IF(ISERROR(FIND("]",D$8,1)),"]",""),";" ))</f>
        <v>GRANT INSERT, SELECT, UPDATE, DELETE, REFERENCES ON [Staging].[TmpFactDemandaPerdida] TO [R_DemandaDW];</v>
      </c>
    </row>
    <row r="28" spans="1:4" ht="33.75" x14ac:dyDescent="0.2">
      <c r="A28" s="66" t="s">
        <v>137</v>
      </c>
      <c r="B28" s="66" t="s">
        <v>142</v>
      </c>
      <c r="C28" s="67" t="s">
        <v>121</v>
      </c>
      <c r="D28" s="68" t="str">
        <f>IF(OR($A28="", C28=""), "", CONCATENATE("GRANT ", IF(NOT(ISERROR(FIND("H",C28,1))), CONCATENATE("EXECUTE ON XML SCHEMA COLLECTION::",IF(ISERROR(FIND("[",$A28,1)),"[",""), $A28, IF(ISERROR(FIND("]",$A28,1)),"]",""), ".", IF(ISERROR(FIND("[",$B28,1)),"[",""), $B28, IF(ISERROR(FIND("]",$B28,1)),"]","")),IF(NOT(ISERROR(FIND("N",C28,1))), CONCATENATE("SEND ON SERVICE::",IF(ISERROR(FIND("[",$B28,1)),"[",""), $B28, IF(ISERROR(FIND("]",$B28,1)),"]","")),CONCATENATE(LEFT(CONCATENATE(IF(ISERROR(FIND("V",C28,1)),"","RECEIVE, "), IF(ISERROR(FIND("C",C28,1)),"","INSERT, "),IF(ISERROR(FIND("R",C28,1)),"","SELECT, "), IF(ISERROR(FIND("U",C28,1)),"","UPDATE, "),IF(ISERROR(FIND("D",C28,1)),"","DELETE, "), IF(ISERROR(FIND("X",C28,1)),"","EXECUTE, "), IF(ISERROR(FIND("F",C28,1)),"","REFERENCES")),IF(ISERROR(FIND("F",C28,1)), LEN(CONCATENATE(IF(ISERROR(FIND("V",C28,1)),"","RECEIVE, "), IF(ISERROR(FIND("C",C28,1)),"","INSERT, "),IF(ISERROR(FIND("R",C28,1)),"","SELECT, "), IF(ISERROR(FIND("U",C28,1)),"","UPDATE, "),IF(ISERROR(FIND("D",C28,1)),"","DELETE, "), IF(ISERROR(FIND("X",C28,1)),"","EXECUTE, ")))-2,LEN(CONCATENATE(IF(ISERROR(FIND("V",C28,1)),"","RECEIVE, "), IF(ISERROR(FIND("C",C28,1)),"","INSERT, "),IF(ISERROR(FIND("R",C28,1)),"","SELECT, "), IF(ISERROR(FIND("U",C28,1)),"","UPDATE, "),IF(ISERROR(FIND("D",C28,1)),"","DELETE, "), IF(ISERROR(FIND("X",C28,1)),"","EXECUTE, "),IF(ISERROR(FIND("F",C28,1)),"","REFERENCES"))))), " ON ",IF(ISERROR(FIND("[",$A28,1)),"[",""), $A28, IF(ISERROR(FIND("]",$A28,1)),"]",""), ".", IF(ISERROR(FIND("[",$B28,1)),"[",""), $B28, IF(ISERROR(FIND("]",$B28,1)),"]","")))), " TO ", IF(ISERROR(FIND("[",D$8,1)),"[",""), D$8, IF(ISERROR(FIND("]",D$8,1)),"]",""),";" ))</f>
        <v>GRANT INSERT, SELECT, UPDATE, DELETE, REFERENCES ON [Staging].[TmpModelVersion] TO [R_DemandaDW];</v>
      </c>
    </row>
    <row r="29" spans="1:4" ht="33.75" x14ac:dyDescent="0.2">
      <c r="A29" s="66" t="s">
        <v>137</v>
      </c>
      <c r="B29" s="66" t="s">
        <v>143</v>
      </c>
      <c r="C29" s="67" t="s">
        <v>121</v>
      </c>
      <c r="D29" s="68" t="str">
        <f>IF(OR($A29="", C29=""), "", CONCATENATE("GRANT ", IF(NOT(ISERROR(FIND("H",C29,1))), CONCATENATE("EXECUTE ON XML SCHEMA COLLECTION::",IF(ISERROR(FIND("[",$A29,1)),"[",""), $A29, IF(ISERROR(FIND("]",$A29,1)),"]",""), ".", IF(ISERROR(FIND("[",$B29,1)),"[",""), $B29, IF(ISERROR(FIND("]",$B29,1)),"]","")),IF(NOT(ISERROR(FIND("N",C29,1))), CONCATENATE("SEND ON SERVICE::",IF(ISERROR(FIND("[",$B29,1)),"[",""), $B29, IF(ISERROR(FIND("]",$B29,1)),"]","")),CONCATENATE(LEFT(CONCATENATE(IF(ISERROR(FIND("V",C29,1)),"","RECEIVE, "), IF(ISERROR(FIND("C",C29,1)),"","INSERT, "),IF(ISERROR(FIND("R",C29,1)),"","SELECT, "), IF(ISERROR(FIND("U",C29,1)),"","UPDATE, "),IF(ISERROR(FIND("D",C29,1)),"","DELETE, "), IF(ISERROR(FIND("X",C29,1)),"","EXECUTE, "), IF(ISERROR(FIND("F",C29,1)),"","REFERENCES")),IF(ISERROR(FIND("F",C29,1)), LEN(CONCATENATE(IF(ISERROR(FIND("V",C29,1)),"","RECEIVE, "), IF(ISERROR(FIND("C",C29,1)),"","INSERT, "),IF(ISERROR(FIND("R",C29,1)),"","SELECT, "), IF(ISERROR(FIND("U",C29,1)),"","UPDATE, "),IF(ISERROR(FIND("D",C29,1)),"","DELETE, "), IF(ISERROR(FIND("X",C29,1)),"","EXECUTE, ")))-2,LEN(CONCATENATE(IF(ISERROR(FIND("V",C29,1)),"","RECEIVE, "), IF(ISERROR(FIND("C",C29,1)),"","INSERT, "),IF(ISERROR(FIND("R",C29,1)),"","SELECT, "), IF(ISERROR(FIND("U",C29,1)),"","UPDATE, "),IF(ISERROR(FIND("D",C29,1)),"","DELETE, "), IF(ISERROR(FIND("X",C29,1)),"","EXECUTE, "),IF(ISERROR(FIND("F",C29,1)),"","REFERENCES"))))), " ON ",IF(ISERROR(FIND("[",$A29,1)),"[",""), $A29, IF(ISERROR(FIND("]",$A29,1)),"]",""), ".", IF(ISERROR(FIND("[",$B29,1)),"[",""), $B29, IF(ISERROR(FIND("]",$B29,1)),"]","")))), " TO ", IF(ISERROR(FIND("[",D$8,1)),"[",""), D$8, IF(ISERROR(FIND("]",D$8,1)),"]",""),";" ))</f>
        <v>GRANT INSERT, SELECT, UPDATE, DELETE, REFERENCES ON [Staging].[TruncateList] TO [R_DemandaDW];</v>
      </c>
    </row>
    <row r="30" spans="1:4" ht="33.75" x14ac:dyDescent="0.2">
      <c r="A30" s="66" t="s">
        <v>144</v>
      </c>
      <c r="B30" s="66" t="s">
        <v>145</v>
      </c>
      <c r="C30" s="67" t="s">
        <v>121</v>
      </c>
      <c r="D30" s="68" t="str">
        <f>IF(OR($A30="", C30=""), "", CONCATENATE("GRANT ", IF(NOT(ISERROR(FIND("H",C30,1))), CONCATENATE("EXECUTE ON XML SCHEMA COLLECTION::",IF(ISERROR(FIND("[",$A30,1)),"[",""), $A30, IF(ISERROR(FIND("]",$A30,1)),"]",""), ".", IF(ISERROR(FIND("[",$B30,1)),"[",""), $B30, IF(ISERROR(FIND("]",$B30,1)),"]","")),IF(NOT(ISERROR(FIND("N",C30,1))), CONCATENATE("SEND ON SERVICE::",IF(ISERROR(FIND("[",$B30,1)),"[",""), $B30, IF(ISERROR(FIND("]",$B30,1)),"]","")),CONCATENATE(LEFT(CONCATENATE(IF(ISERROR(FIND("V",C30,1)),"","RECEIVE, "), IF(ISERROR(FIND("C",C30,1)),"","INSERT, "),IF(ISERROR(FIND("R",C30,1)),"","SELECT, "), IF(ISERROR(FIND("U",C30,1)),"","UPDATE, "),IF(ISERROR(FIND("D",C30,1)),"","DELETE, "), IF(ISERROR(FIND("X",C30,1)),"","EXECUTE, "), IF(ISERROR(FIND("F",C30,1)),"","REFERENCES")),IF(ISERROR(FIND("F",C30,1)), LEN(CONCATENATE(IF(ISERROR(FIND("V",C30,1)),"","RECEIVE, "), IF(ISERROR(FIND("C",C30,1)),"","INSERT, "),IF(ISERROR(FIND("R",C30,1)),"","SELECT, "), IF(ISERROR(FIND("U",C30,1)),"","UPDATE, "),IF(ISERROR(FIND("D",C30,1)),"","DELETE, "), IF(ISERROR(FIND("X",C30,1)),"","EXECUTE, ")))-2,LEN(CONCATENATE(IF(ISERROR(FIND("V",C30,1)),"","RECEIVE, "), IF(ISERROR(FIND("C",C30,1)),"","INSERT, "),IF(ISERROR(FIND("R",C30,1)),"","SELECT, "), IF(ISERROR(FIND("U",C30,1)),"","UPDATE, "),IF(ISERROR(FIND("D",C30,1)),"","DELETE, "), IF(ISERROR(FIND("X",C30,1)),"","EXECUTE, "),IF(ISERROR(FIND("F",C30,1)),"","REFERENCES"))))), " ON ",IF(ISERROR(FIND("[",$A30,1)),"[",""), $A30, IF(ISERROR(FIND("]",$A30,1)),"]",""), ".", IF(ISERROR(FIND("[",$B30,1)),"[",""), $B30, IF(ISERROR(FIND("]",$B30,1)),"]","")))), " TO ", IF(ISERROR(FIND("[",D$8,1)),"[",""), D$8, IF(ISERROR(FIND("]",D$8,1)),"]",""),";" ))</f>
        <v>GRANT INSERT, SELECT, UPDATE, DELETE, REFERENCES ON [Utility].[ChangeDateForDim] TO [R_DemandaDW];</v>
      </c>
    </row>
    <row r="31" spans="1:4" ht="33.75" x14ac:dyDescent="0.2">
      <c r="A31" s="66" t="s">
        <v>144</v>
      </c>
      <c r="B31" s="66" t="s">
        <v>146</v>
      </c>
      <c r="C31" s="67" t="s">
        <v>121</v>
      </c>
      <c r="D31" s="68" t="str">
        <f>IF(OR($A31="", C31=""), "", CONCATENATE("GRANT ", IF(NOT(ISERROR(FIND("H",C31,1))), CONCATENATE("EXECUTE ON XML SCHEMA COLLECTION::",IF(ISERROR(FIND("[",$A31,1)),"[",""), $A31, IF(ISERROR(FIND("]",$A31,1)),"]",""), ".", IF(ISERROR(FIND("[",$B31,1)),"[",""), $B31, IF(ISERROR(FIND("]",$B31,1)),"]","")),IF(NOT(ISERROR(FIND("N",C31,1))), CONCATENATE("SEND ON SERVICE::",IF(ISERROR(FIND("[",$B31,1)),"[",""), $B31, IF(ISERROR(FIND("]",$B31,1)),"]","")),CONCATENATE(LEFT(CONCATENATE(IF(ISERROR(FIND("V",C31,1)),"","RECEIVE, "), IF(ISERROR(FIND("C",C31,1)),"","INSERT, "),IF(ISERROR(FIND("R",C31,1)),"","SELECT, "), IF(ISERROR(FIND("U",C31,1)),"","UPDATE, "),IF(ISERROR(FIND("D",C31,1)),"","DELETE, "), IF(ISERROR(FIND("X",C31,1)),"","EXECUTE, "), IF(ISERROR(FIND("F",C31,1)),"","REFERENCES")),IF(ISERROR(FIND("F",C31,1)), LEN(CONCATENATE(IF(ISERROR(FIND("V",C31,1)),"","RECEIVE, "), IF(ISERROR(FIND("C",C31,1)),"","INSERT, "),IF(ISERROR(FIND("R",C31,1)),"","SELECT, "), IF(ISERROR(FIND("U",C31,1)),"","UPDATE, "),IF(ISERROR(FIND("D",C31,1)),"","DELETE, "), IF(ISERROR(FIND("X",C31,1)),"","EXECUTE, ")))-2,LEN(CONCATENATE(IF(ISERROR(FIND("V",C31,1)),"","RECEIVE, "), IF(ISERROR(FIND("C",C31,1)),"","INSERT, "),IF(ISERROR(FIND("R",C31,1)),"","SELECT, "), IF(ISERROR(FIND("U",C31,1)),"","UPDATE, "),IF(ISERROR(FIND("D",C31,1)),"","DELETE, "), IF(ISERROR(FIND("X",C31,1)),"","EXECUTE, "),IF(ISERROR(FIND("F",C31,1)),"","REFERENCES"))))), " ON ",IF(ISERROR(FIND("[",$A31,1)),"[",""), $A31, IF(ISERROR(FIND("]",$A31,1)),"]",""), ".", IF(ISERROR(FIND("[",$B31,1)),"[",""), $B31, IF(ISERROR(FIND("]",$B31,1)),"]","")))), " TO ", IF(ISERROR(FIND("[",D$8,1)),"[",""), D$8, IF(ISERROR(FIND("]",D$8,1)),"]",""),";" ))</f>
        <v>GRANT INSERT, SELECT, UPDATE, DELETE, REFERENCES ON [Utility].[CubePartition] TO [R_DemandaDW];</v>
      </c>
    </row>
    <row r="32" spans="1:4" ht="33.75" x14ac:dyDescent="0.2">
      <c r="A32" s="66" t="s">
        <v>144</v>
      </c>
      <c r="B32" s="66" t="s">
        <v>147</v>
      </c>
      <c r="C32" s="67" t="s">
        <v>121</v>
      </c>
      <c r="D32" s="68" t="str">
        <f>IF(OR($A32="", C32=""), "", CONCATENATE("GRANT ", IF(NOT(ISERROR(FIND("H",C32,1))), CONCATENATE("EXECUTE ON XML SCHEMA COLLECTION::",IF(ISERROR(FIND("[",$A32,1)),"[",""), $A32, IF(ISERROR(FIND("]",$A32,1)),"]",""), ".", IF(ISERROR(FIND("[",$B32,1)),"[",""), $B32, IF(ISERROR(FIND("]",$B32,1)),"]","")),IF(NOT(ISERROR(FIND("N",C32,1))), CONCATENATE("SEND ON SERVICE::",IF(ISERROR(FIND("[",$B32,1)),"[",""), $B32, IF(ISERROR(FIND("]",$B32,1)),"]","")),CONCATENATE(LEFT(CONCATENATE(IF(ISERROR(FIND("V",C32,1)),"","RECEIVE, "), IF(ISERROR(FIND("C",C32,1)),"","INSERT, "),IF(ISERROR(FIND("R",C32,1)),"","SELECT, "), IF(ISERROR(FIND("U",C32,1)),"","UPDATE, "),IF(ISERROR(FIND("D",C32,1)),"","DELETE, "), IF(ISERROR(FIND("X",C32,1)),"","EXECUTE, "), IF(ISERROR(FIND("F",C32,1)),"","REFERENCES")),IF(ISERROR(FIND("F",C32,1)), LEN(CONCATENATE(IF(ISERROR(FIND("V",C32,1)),"","RECEIVE, "), IF(ISERROR(FIND("C",C32,1)),"","INSERT, "),IF(ISERROR(FIND("R",C32,1)),"","SELECT, "), IF(ISERROR(FIND("U",C32,1)),"","UPDATE, "),IF(ISERROR(FIND("D",C32,1)),"","DELETE, "), IF(ISERROR(FIND("X",C32,1)),"","EXECUTE, ")))-2,LEN(CONCATENATE(IF(ISERROR(FIND("V",C32,1)),"","RECEIVE, "), IF(ISERROR(FIND("C",C32,1)),"","INSERT, "),IF(ISERROR(FIND("R",C32,1)),"","SELECT, "), IF(ISERROR(FIND("U",C32,1)),"","UPDATE, "),IF(ISERROR(FIND("D",C32,1)),"","DELETE, "), IF(ISERROR(FIND("X",C32,1)),"","EXECUTE, "),IF(ISERROR(FIND("F",C32,1)),"","REFERENCES"))))), " ON ",IF(ISERROR(FIND("[",$A32,1)),"[",""), $A32, IF(ISERROR(FIND("]",$A32,1)),"]",""), ".", IF(ISERROR(FIND("[",$B32,1)),"[",""), $B32, IF(ISERROR(FIND("]",$B32,1)),"]","")))), " TO ", IF(ISERROR(FIND("[",D$8,1)),"[",""), D$8, IF(ISERROR(FIND("]",D$8,1)),"]",""),";" ))</f>
        <v>GRANT INSERT, SELECT, UPDATE, DELETE, REFERENCES ON [Utility].[CubePartitionDetail] TO [R_DemandaDW];</v>
      </c>
    </row>
    <row r="33" spans="1:4" ht="33.75" x14ac:dyDescent="0.2">
      <c r="A33" s="66" t="s">
        <v>144</v>
      </c>
      <c r="B33" s="66" t="s">
        <v>148</v>
      </c>
      <c r="C33" s="67" t="s">
        <v>121</v>
      </c>
      <c r="D33" s="68" t="str">
        <f>IF(OR($A33="", C33=""), "", CONCATENATE("GRANT ", IF(NOT(ISERROR(FIND("H",C33,1))), CONCATENATE("EXECUTE ON XML SCHEMA COLLECTION::",IF(ISERROR(FIND("[",$A33,1)),"[",""), $A33, IF(ISERROR(FIND("]",$A33,1)),"]",""), ".", IF(ISERROR(FIND("[",$B33,1)),"[",""), $B33, IF(ISERROR(FIND("]",$B33,1)),"]","")),IF(NOT(ISERROR(FIND("N",C33,1))), CONCATENATE("SEND ON SERVICE::",IF(ISERROR(FIND("[",$B33,1)),"[",""), $B33, IF(ISERROR(FIND("]",$B33,1)),"]","")),CONCATENATE(LEFT(CONCATENATE(IF(ISERROR(FIND("V",C33,1)),"","RECEIVE, "), IF(ISERROR(FIND("C",C33,1)),"","INSERT, "),IF(ISERROR(FIND("R",C33,1)),"","SELECT, "), IF(ISERROR(FIND("U",C33,1)),"","UPDATE, "),IF(ISERROR(FIND("D",C33,1)),"","DELETE, "), IF(ISERROR(FIND("X",C33,1)),"","EXECUTE, "), IF(ISERROR(FIND("F",C33,1)),"","REFERENCES")),IF(ISERROR(FIND("F",C33,1)), LEN(CONCATENATE(IF(ISERROR(FIND("V",C33,1)),"","RECEIVE, "), IF(ISERROR(FIND("C",C33,1)),"","INSERT, "),IF(ISERROR(FIND("R",C33,1)),"","SELECT, "), IF(ISERROR(FIND("U",C33,1)),"","UPDATE, "),IF(ISERROR(FIND("D",C33,1)),"","DELETE, "), IF(ISERROR(FIND("X",C33,1)),"","EXECUTE, ")))-2,LEN(CONCATENATE(IF(ISERROR(FIND("V",C33,1)),"","RECEIVE, "), IF(ISERROR(FIND("C",C33,1)),"","INSERT, "),IF(ISERROR(FIND("R",C33,1)),"","SELECT, "), IF(ISERROR(FIND("U",C33,1)),"","UPDATE, "),IF(ISERROR(FIND("D",C33,1)),"","DELETE, "), IF(ISERROR(FIND("X",C33,1)),"","EXECUTE, "),IF(ISERROR(FIND("F",C33,1)),"","REFERENCES"))))), " ON ",IF(ISERROR(FIND("[",$A33,1)),"[",""), $A33, IF(ISERROR(FIND("]",$A33,1)),"]",""), ".", IF(ISERROR(FIND("[",$B33,1)),"[",""), $B33, IF(ISERROR(FIND("]",$B33,1)),"]","")))), " TO ", IF(ISERROR(FIND("[",D$8,1)),"[",""), D$8, IF(ISERROR(FIND("]",D$8,1)),"]",""),";" ))</f>
        <v>GRANT INSERT, SELECT, UPDATE, DELETE, REFERENCES ON [Utility].[CubeSystem] TO [R_DemandaDW];</v>
      </c>
    </row>
    <row r="34" spans="1:4" ht="33.75" x14ac:dyDescent="0.2">
      <c r="A34" s="66" t="s">
        <v>144</v>
      </c>
      <c r="B34" s="66" t="s">
        <v>149</v>
      </c>
      <c r="C34" s="67" t="s">
        <v>121</v>
      </c>
      <c r="D34" s="68" t="str">
        <f>IF(OR($A34="", C34=""), "", CONCATENATE("GRANT ", IF(NOT(ISERROR(FIND("H",C34,1))), CONCATENATE("EXECUTE ON XML SCHEMA COLLECTION::",IF(ISERROR(FIND("[",$A34,1)),"[",""), $A34, IF(ISERROR(FIND("]",$A34,1)),"]",""), ".", IF(ISERROR(FIND("[",$B34,1)),"[",""), $B34, IF(ISERROR(FIND("]",$B34,1)),"]","")),IF(NOT(ISERROR(FIND("N",C34,1))), CONCATENATE("SEND ON SERVICE::",IF(ISERROR(FIND("[",$B34,1)),"[",""), $B34, IF(ISERROR(FIND("]",$B34,1)),"]","")),CONCATENATE(LEFT(CONCATENATE(IF(ISERROR(FIND("V",C34,1)),"","RECEIVE, "), IF(ISERROR(FIND("C",C34,1)),"","INSERT, "),IF(ISERROR(FIND("R",C34,1)),"","SELECT, "), IF(ISERROR(FIND("U",C34,1)),"","UPDATE, "),IF(ISERROR(FIND("D",C34,1)),"","DELETE, "), IF(ISERROR(FIND("X",C34,1)),"","EXECUTE, "), IF(ISERROR(FIND("F",C34,1)),"","REFERENCES")),IF(ISERROR(FIND("F",C34,1)), LEN(CONCATENATE(IF(ISERROR(FIND("V",C34,1)),"","RECEIVE, "), IF(ISERROR(FIND("C",C34,1)),"","INSERT, "),IF(ISERROR(FIND("R",C34,1)),"","SELECT, "), IF(ISERROR(FIND("U",C34,1)),"","UPDATE, "),IF(ISERROR(FIND("D",C34,1)),"","DELETE, "), IF(ISERROR(FIND("X",C34,1)),"","EXECUTE, ")))-2,LEN(CONCATENATE(IF(ISERROR(FIND("V",C34,1)),"","RECEIVE, "), IF(ISERROR(FIND("C",C34,1)),"","INSERT, "),IF(ISERROR(FIND("R",C34,1)),"","SELECT, "), IF(ISERROR(FIND("U",C34,1)),"","UPDATE, "),IF(ISERROR(FIND("D",C34,1)),"","DELETE, "), IF(ISERROR(FIND("X",C34,1)),"","EXECUTE, "),IF(ISERROR(FIND("F",C34,1)),"","REFERENCES"))))), " ON ",IF(ISERROR(FIND("[",$A34,1)),"[",""), $A34, IF(ISERROR(FIND("]",$A34,1)),"]",""), ".", IF(ISERROR(FIND("[",$B34,1)),"[",""), $B34, IF(ISERROR(FIND("]",$B34,1)),"]","")))), " TO ", IF(ISERROR(FIND("[",D$8,1)),"[",""), D$8, IF(ISERROR(FIND("]",D$8,1)),"]",""),";" ))</f>
        <v>GRANT INSERT, SELECT, UPDATE, DELETE, REFERENCES ON [Utility].[MetricSystem] TO [R_DemandaDW];</v>
      </c>
    </row>
    <row r="35" spans="1:4" ht="33.75" x14ac:dyDescent="0.2">
      <c r="A35" s="66" t="s">
        <v>144</v>
      </c>
      <c r="B35" s="66" t="s">
        <v>150</v>
      </c>
      <c r="C35" s="67" t="s">
        <v>121</v>
      </c>
      <c r="D35" s="68" t="str">
        <f>IF(OR($A35="", C35=""), "", CONCATENATE("GRANT ", IF(NOT(ISERROR(FIND("H",C35,1))), CONCATENATE("EXECUTE ON XML SCHEMA COLLECTION::",IF(ISERROR(FIND("[",$A35,1)),"[",""), $A35, IF(ISERROR(FIND("]",$A35,1)),"]",""), ".", IF(ISERROR(FIND("[",$B35,1)),"[",""), $B35, IF(ISERROR(FIND("]",$B35,1)),"]","")),IF(NOT(ISERROR(FIND("N",C35,1))), CONCATENATE("SEND ON SERVICE::",IF(ISERROR(FIND("[",$B35,1)),"[",""), $B35, IF(ISERROR(FIND("]",$B35,1)),"]","")),CONCATENATE(LEFT(CONCATENATE(IF(ISERROR(FIND("V",C35,1)),"","RECEIVE, "), IF(ISERROR(FIND("C",C35,1)),"","INSERT, "),IF(ISERROR(FIND("R",C35,1)),"","SELECT, "), IF(ISERROR(FIND("U",C35,1)),"","UPDATE, "),IF(ISERROR(FIND("D",C35,1)),"","DELETE, "), IF(ISERROR(FIND("X",C35,1)),"","EXECUTE, "), IF(ISERROR(FIND("F",C35,1)),"","REFERENCES")),IF(ISERROR(FIND("F",C35,1)), LEN(CONCATENATE(IF(ISERROR(FIND("V",C35,1)),"","RECEIVE, "), IF(ISERROR(FIND("C",C35,1)),"","INSERT, "),IF(ISERROR(FIND("R",C35,1)),"","SELECT, "), IF(ISERROR(FIND("U",C35,1)),"","UPDATE, "),IF(ISERROR(FIND("D",C35,1)),"","DELETE, "), IF(ISERROR(FIND("X",C35,1)),"","EXECUTE, ")))-2,LEN(CONCATENATE(IF(ISERROR(FIND("V",C35,1)),"","RECEIVE, "), IF(ISERROR(FIND("C",C35,1)),"","INSERT, "),IF(ISERROR(FIND("R",C35,1)),"","SELECT, "), IF(ISERROR(FIND("U",C35,1)),"","UPDATE, "),IF(ISERROR(FIND("D",C35,1)),"","DELETE, "), IF(ISERROR(FIND("X",C35,1)),"","EXECUTE, "),IF(ISERROR(FIND("F",C35,1)),"","REFERENCES"))))), " ON ",IF(ISERROR(FIND("[",$A35,1)),"[",""), $A35, IF(ISERROR(FIND("]",$A35,1)),"]",""), ".", IF(ISERROR(FIND("[",$B35,1)),"[",""), $B35, IF(ISERROR(FIND("]",$B35,1)),"]","")))), " TO ", IF(ISERROR(FIND("[",D$8,1)),"[",""), D$8, IF(ISERROR(FIND("]",D$8,1)),"]",""),";" ))</f>
        <v>GRANT INSERT, SELECT, UPDATE, DELETE, REFERENCES ON [Utility].[ModelLoad] TO [R_DemandaDW];</v>
      </c>
    </row>
    <row r="36" spans="1:4" ht="33.75" x14ac:dyDescent="0.2">
      <c r="A36" s="66" t="s">
        <v>144</v>
      </c>
      <c r="B36" s="66" t="s">
        <v>151</v>
      </c>
      <c r="C36" s="67" t="s">
        <v>121</v>
      </c>
      <c r="D36" s="68" t="str">
        <f>IF(OR($A36="", C36=""), "", CONCATENATE("GRANT ", IF(NOT(ISERROR(FIND("H",C36,1))), CONCATENATE("EXECUTE ON XML SCHEMA COLLECTION::",IF(ISERROR(FIND("[",$A36,1)),"[",""), $A36, IF(ISERROR(FIND("]",$A36,1)),"]",""), ".", IF(ISERROR(FIND("[",$B36,1)),"[",""), $B36, IF(ISERROR(FIND("]",$B36,1)),"]","")),IF(NOT(ISERROR(FIND("N",C36,1))), CONCATENATE("SEND ON SERVICE::",IF(ISERROR(FIND("[",$B36,1)),"[",""), $B36, IF(ISERROR(FIND("]",$B36,1)),"]","")),CONCATENATE(LEFT(CONCATENATE(IF(ISERROR(FIND("V",C36,1)),"","RECEIVE, "), IF(ISERROR(FIND("C",C36,1)),"","INSERT, "),IF(ISERROR(FIND("R",C36,1)),"","SELECT, "), IF(ISERROR(FIND("U",C36,1)),"","UPDATE, "),IF(ISERROR(FIND("D",C36,1)),"","DELETE, "), IF(ISERROR(FIND("X",C36,1)),"","EXECUTE, "), IF(ISERROR(FIND("F",C36,1)),"","REFERENCES")),IF(ISERROR(FIND("F",C36,1)), LEN(CONCATENATE(IF(ISERROR(FIND("V",C36,1)),"","RECEIVE, "), IF(ISERROR(FIND("C",C36,1)),"","INSERT, "),IF(ISERROR(FIND("R",C36,1)),"","SELECT, "), IF(ISERROR(FIND("U",C36,1)),"","UPDATE, "),IF(ISERROR(FIND("D",C36,1)),"","DELETE, "), IF(ISERROR(FIND("X",C36,1)),"","EXECUTE, ")))-2,LEN(CONCATENATE(IF(ISERROR(FIND("V",C36,1)),"","RECEIVE, "), IF(ISERROR(FIND("C",C36,1)),"","INSERT, "),IF(ISERROR(FIND("R",C36,1)),"","SELECT, "), IF(ISERROR(FIND("U",C36,1)),"","UPDATE, "),IF(ISERROR(FIND("D",C36,1)),"","DELETE, "), IF(ISERROR(FIND("X",C36,1)),"","EXECUTE, "),IF(ISERROR(FIND("F",C36,1)),"","REFERENCES"))))), " ON ",IF(ISERROR(FIND("[",$A36,1)),"[",""), $A36, IF(ISERROR(FIND("]",$A36,1)),"]",""), ".", IF(ISERROR(FIND("[",$B36,1)),"[",""), $B36, IF(ISERROR(FIND("]",$B36,1)),"]","")))), " TO ", IF(ISERROR(FIND("[",D$8,1)),"[",""), D$8, IF(ISERROR(FIND("]",D$8,1)),"]",""),";" ))</f>
        <v>GRANT INSERT, SELECT, UPDATE, DELETE, REFERENCES ON [Utility].[ModelParameter] TO [R_DemandaDW];</v>
      </c>
    </row>
    <row r="37" spans="1:4" ht="33.75" x14ac:dyDescent="0.2">
      <c r="A37" s="66" t="s">
        <v>144</v>
      </c>
      <c r="B37" s="66" t="s">
        <v>152</v>
      </c>
      <c r="C37" s="67" t="s">
        <v>121</v>
      </c>
      <c r="D37" s="68" t="str">
        <f>IF(OR($A37="", C37=""), "", CONCATENATE("GRANT ", IF(NOT(ISERROR(FIND("H",C37,1))), CONCATENATE("EXECUTE ON XML SCHEMA COLLECTION::",IF(ISERROR(FIND("[",$A37,1)),"[",""), $A37, IF(ISERROR(FIND("]",$A37,1)),"]",""), ".", IF(ISERROR(FIND("[",$B37,1)),"[",""), $B37, IF(ISERROR(FIND("]",$B37,1)),"]","")),IF(NOT(ISERROR(FIND("N",C37,1))), CONCATENATE("SEND ON SERVICE::",IF(ISERROR(FIND("[",$B37,1)),"[",""), $B37, IF(ISERROR(FIND("]",$B37,1)),"]","")),CONCATENATE(LEFT(CONCATENATE(IF(ISERROR(FIND("V",C37,1)),"","RECEIVE, "), IF(ISERROR(FIND("C",C37,1)),"","INSERT, "),IF(ISERROR(FIND("R",C37,1)),"","SELECT, "), IF(ISERROR(FIND("U",C37,1)),"","UPDATE, "),IF(ISERROR(FIND("D",C37,1)),"","DELETE, "), IF(ISERROR(FIND("X",C37,1)),"","EXECUTE, "), IF(ISERROR(FIND("F",C37,1)),"","REFERENCES")),IF(ISERROR(FIND("F",C37,1)), LEN(CONCATENATE(IF(ISERROR(FIND("V",C37,1)),"","RECEIVE, "), IF(ISERROR(FIND("C",C37,1)),"","INSERT, "),IF(ISERROR(FIND("R",C37,1)),"","SELECT, "), IF(ISERROR(FIND("U",C37,1)),"","UPDATE, "),IF(ISERROR(FIND("D",C37,1)),"","DELETE, "), IF(ISERROR(FIND("X",C37,1)),"","EXECUTE, ")))-2,LEN(CONCATENATE(IF(ISERROR(FIND("V",C37,1)),"","RECEIVE, "), IF(ISERROR(FIND("C",C37,1)),"","INSERT, "),IF(ISERROR(FIND("R",C37,1)),"","SELECT, "), IF(ISERROR(FIND("U",C37,1)),"","UPDATE, "),IF(ISERROR(FIND("D",C37,1)),"","DELETE, "), IF(ISERROR(FIND("X",C37,1)),"","EXECUTE, "),IF(ISERROR(FIND("F",C37,1)),"","REFERENCES"))))), " ON ",IF(ISERROR(FIND("[",$A37,1)),"[",""), $A37, IF(ISERROR(FIND("]",$A37,1)),"]",""), ".", IF(ISERROR(FIND("[",$B37,1)),"[",""), $B37, IF(ISERROR(FIND("]",$B37,1)),"]","")))), " TO ", IF(ISERROR(FIND("[",D$8,1)),"[",""), D$8, IF(ISERROR(FIND("]",D$8,1)),"]",""),";" ))</f>
        <v>GRANT INSERT, SELECT, UPDATE, DELETE, REFERENCES ON [Utility].[ModelSchedule] TO [R_DemandaDW];</v>
      </c>
    </row>
    <row r="38" spans="1:4" ht="33.75" x14ac:dyDescent="0.2">
      <c r="A38" s="66" t="s">
        <v>144</v>
      </c>
      <c r="B38" s="66" t="s">
        <v>153</v>
      </c>
      <c r="C38" s="67" t="s">
        <v>121</v>
      </c>
      <c r="D38" s="68" t="str">
        <f>IF(OR($A38="", C38=""), "", CONCATENATE("GRANT ", IF(NOT(ISERROR(FIND("H",C38,1))), CONCATENATE("EXECUTE ON XML SCHEMA COLLECTION::",IF(ISERROR(FIND("[",$A38,1)),"[",""), $A38, IF(ISERROR(FIND("]",$A38,1)),"]",""), ".", IF(ISERROR(FIND("[",$B38,1)),"[",""), $B38, IF(ISERROR(FIND("]",$B38,1)),"]","")),IF(NOT(ISERROR(FIND("N",C38,1))), CONCATENATE("SEND ON SERVICE::",IF(ISERROR(FIND("[",$B38,1)),"[",""), $B38, IF(ISERROR(FIND("]",$B38,1)),"]","")),CONCATENATE(LEFT(CONCATENATE(IF(ISERROR(FIND("V",C38,1)),"","RECEIVE, "), IF(ISERROR(FIND("C",C38,1)),"","INSERT, "),IF(ISERROR(FIND("R",C38,1)),"","SELECT, "), IF(ISERROR(FIND("U",C38,1)),"","UPDATE, "),IF(ISERROR(FIND("D",C38,1)),"","DELETE, "), IF(ISERROR(FIND("X",C38,1)),"","EXECUTE, "), IF(ISERROR(FIND("F",C38,1)),"","REFERENCES")),IF(ISERROR(FIND("F",C38,1)), LEN(CONCATENATE(IF(ISERROR(FIND("V",C38,1)),"","RECEIVE, "), IF(ISERROR(FIND("C",C38,1)),"","INSERT, "),IF(ISERROR(FIND("R",C38,1)),"","SELECT, "), IF(ISERROR(FIND("U",C38,1)),"","UPDATE, "),IF(ISERROR(FIND("D",C38,1)),"","DELETE, "), IF(ISERROR(FIND("X",C38,1)),"","EXECUTE, ")))-2,LEN(CONCATENATE(IF(ISERROR(FIND("V",C38,1)),"","RECEIVE, "), IF(ISERROR(FIND("C",C38,1)),"","INSERT, "),IF(ISERROR(FIND("R",C38,1)),"","SELECT, "), IF(ISERROR(FIND("U",C38,1)),"","UPDATE, "),IF(ISERROR(FIND("D",C38,1)),"","DELETE, "), IF(ISERROR(FIND("X",C38,1)),"","EXECUTE, "),IF(ISERROR(FIND("F",C38,1)),"","REFERENCES"))))), " ON ",IF(ISERROR(FIND("[",$A38,1)),"[",""), $A38, IF(ISERROR(FIND("]",$A38,1)),"]",""), ".", IF(ISERROR(FIND("[",$B38,1)),"[",""), $B38, IF(ISERROR(FIND("]",$B38,1)),"]","")))), " TO ", IF(ISERROR(FIND("[",D$8,1)),"[",""), D$8, IF(ISERROR(FIND("]",D$8,1)),"]",""),";" ))</f>
        <v>GRANT INSERT, SELECT, UPDATE, DELETE, REFERENCES ON [Utility].[ModelSystem] TO [R_DemandaDW];</v>
      </c>
    </row>
    <row r="39" spans="1:4" ht="33.75" x14ac:dyDescent="0.2">
      <c r="A39" s="66" t="s">
        <v>144</v>
      </c>
      <c r="B39" s="66" t="s">
        <v>154</v>
      </c>
      <c r="C39" s="67" t="s">
        <v>121</v>
      </c>
      <c r="D39" s="68" t="str">
        <f>IF(OR($A39="", C39=""), "", CONCATENATE("GRANT ", IF(NOT(ISERROR(FIND("H",C39,1))), CONCATENATE("EXECUTE ON XML SCHEMA COLLECTION::",IF(ISERROR(FIND("[",$A39,1)),"[",""), $A39, IF(ISERROR(FIND("]",$A39,1)),"]",""), ".", IF(ISERROR(FIND("[",$B39,1)),"[",""), $B39, IF(ISERROR(FIND("]",$B39,1)),"]","")),IF(NOT(ISERROR(FIND("N",C39,1))), CONCATENATE("SEND ON SERVICE::",IF(ISERROR(FIND("[",$B39,1)),"[",""), $B39, IF(ISERROR(FIND("]",$B39,1)),"]","")),CONCATENATE(LEFT(CONCATENATE(IF(ISERROR(FIND("V",C39,1)),"","RECEIVE, "), IF(ISERROR(FIND("C",C39,1)),"","INSERT, "),IF(ISERROR(FIND("R",C39,1)),"","SELECT, "), IF(ISERROR(FIND("U",C39,1)),"","UPDATE, "),IF(ISERROR(FIND("D",C39,1)),"","DELETE, "), IF(ISERROR(FIND("X",C39,1)),"","EXECUTE, "), IF(ISERROR(FIND("F",C39,1)),"","REFERENCES")),IF(ISERROR(FIND("F",C39,1)), LEN(CONCATENATE(IF(ISERROR(FIND("V",C39,1)),"","RECEIVE, "), IF(ISERROR(FIND("C",C39,1)),"","INSERT, "),IF(ISERROR(FIND("R",C39,1)),"","SELECT, "), IF(ISERROR(FIND("U",C39,1)),"","UPDATE, "),IF(ISERROR(FIND("D",C39,1)),"","DELETE, "), IF(ISERROR(FIND("X",C39,1)),"","EXECUTE, ")))-2,LEN(CONCATENATE(IF(ISERROR(FIND("V",C39,1)),"","RECEIVE, "), IF(ISERROR(FIND("C",C39,1)),"","INSERT, "),IF(ISERROR(FIND("R",C39,1)),"","SELECT, "), IF(ISERROR(FIND("U",C39,1)),"","UPDATE, "),IF(ISERROR(FIND("D",C39,1)),"","DELETE, "), IF(ISERROR(FIND("X",C39,1)),"","EXECUTE, "),IF(ISERROR(FIND("F",C39,1)),"","REFERENCES"))))), " ON ",IF(ISERROR(FIND("[",$A39,1)),"[",""), $A39, IF(ISERROR(FIND("]",$A39,1)),"]",""), ".", IF(ISERROR(FIND("[",$B39,1)),"[",""), $B39, IF(ISERROR(FIND("]",$B39,1)),"]","")))), " TO ", IF(ISERROR(FIND("[",D$8,1)),"[",""), D$8, IF(ISERROR(FIND("]",D$8,1)),"]",""),";" ))</f>
        <v>GRANT INSERT, SELECT, UPDATE, DELETE, REFERENCES ON [Utility].[ModelVersion] TO [R_DemandaDW];</v>
      </c>
    </row>
    <row r="40" spans="1:4" ht="33.75" x14ac:dyDescent="0.2">
      <c r="A40" s="66" t="s">
        <v>144</v>
      </c>
      <c r="B40" s="66" t="s">
        <v>155</v>
      </c>
      <c r="C40" s="67" t="s">
        <v>121</v>
      </c>
      <c r="D40" s="68" t="str">
        <f>IF(OR($A40="", C40=""), "", CONCATENATE("GRANT ", IF(NOT(ISERROR(FIND("H",C40,1))), CONCATENATE("EXECUTE ON XML SCHEMA COLLECTION::",IF(ISERROR(FIND("[",$A40,1)),"[",""), $A40, IF(ISERROR(FIND("]",$A40,1)),"]",""), ".", IF(ISERROR(FIND("[",$B40,1)),"[",""), $B40, IF(ISERROR(FIND("]",$B40,1)),"]","")),IF(NOT(ISERROR(FIND("N",C40,1))), CONCATENATE("SEND ON SERVICE::",IF(ISERROR(FIND("[",$B40,1)),"[",""), $B40, IF(ISERROR(FIND("]",$B40,1)),"]","")),CONCATENATE(LEFT(CONCATENATE(IF(ISERROR(FIND("V",C40,1)),"","RECEIVE, "), IF(ISERROR(FIND("C",C40,1)),"","INSERT, "),IF(ISERROR(FIND("R",C40,1)),"","SELECT, "), IF(ISERROR(FIND("U",C40,1)),"","UPDATE, "),IF(ISERROR(FIND("D",C40,1)),"","DELETE, "), IF(ISERROR(FIND("X",C40,1)),"","EXECUTE, "), IF(ISERROR(FIND("F",C40,1)),"","REFERENCES")),IF(ISERROR(FIND("F",C40,1)), LEN(CONCATENATE(IF(ISERROR(FIND("V",C40,1)),"","RECEIVE, "), IF(ISERROR(FIND("C",C40,1)),"","INSERT, "),IF(ISERROR(FIND("R",C40,1)),"","SELECT, "), IF(ISERROR(FIND("U",C40,1)),"","UPDATE, "),IF(ISERROR(FIND("D",C40,1)),"","DELETE, "), IF(ISERROR(FIND("X",C40,1)),"","EXECUTE, ")))-2,LEN(CONCATENATE(IF(ISERROR(FIND("V",C40,1)),"","RECEIVE, "), IF(ISERROR(FIND("C",C40,1)),"","INSERT, "),IF(ISERROR(FIND("R",C40,1)),"","SELECT, "), IF(ISERROR(FIND("U",C40,1)),"","UPDATE, "),IF(ISERROR(FIND("D",C40,1)),"","DELETE, "), IF(ISERROR(FIND("X",C40,1)),"","EXECUTE, "),IF(ISERROR(FIND("F",C40,1)),"","REFERENCES"))))), " ON ",IF(ISERROR(FIND("[",$A40,1)),"[",""), $A40, IF(ISERROR(FIND("]",$A40,1)),"]",""), ".", IF(ISERROR(FIND("[",$B40,1)),"[",""), $B40, IF(ISERROR(FIND("]",$B40,1)),"]","")))), " TO ", IF(ISERROR(FIND("[",D$8,1)),"[",""), D$8, IF(ISERROR(FIND("]",D$8,1)),"]",""),";" ))</f>
        <v>GRANT INSERT, SELECT, UPDATE, DELETE, REFERENCES ON [Utility].[ModuleModel] TO [R_DemandaDW];</v>
      </c>
    </row>
    <row r="41" spans="1:4" ht="33.75" x14ac:dyDescent="0.2">
      <c r="A41" s="66" t="s">
        <v>144</v>
      </c>
      <c r="B41" s="66" t="s">
        <v>156</v>
      </c>
      <c r="C41" s="67" t="s">
        <v>121</v>
      </c>
      <c r="D41" s="68" t="str">
        <f>IF(OR($A41="", C41=""), "", CONCATENATE("GRANT ", IF(NOT(ISERROR(FIND("H",C41,1))), CONCATENATE("EXECUTE ON XML SCHEMA COLLECTION::",IF(ISERROR(FIND("[",$A41,1)),"[",""), $A41, IF(ISERROR(FIND("]",$A41,1)),"]",""), ".", IF(ISERROR(FIND("[",$B41,1)),"[",""), $B41, IF(ISERROR(FIND("]",$B41,1)),"]","")),IF(NOT(ISERROR(FIND("N",C41,1))), CONCATENATE("SEND ON SERVICE::",IF(ISERROR(FIND("[",$B41,1)),"[",""), $B41, IF(ISERROR(FIND("]",$B41,1)),"]","")),CONCATENATE(LEFT(CONCATENATE(IF(ISERROR(FIND("V",C41,1)),"","RECEIVE, "), IF(ISERROR(FIND("C",C41,1)),"","INSERT, "),IF(ISERROR(FIND("R",C41,1)),"","SELECT, "), IF(ISERROR(FIND("U",C41,1)),"","UPDATE, "),IF(ISERROR(FIND("D",C41,1)),"","DELETE, "), IF(ISERROR(FIND("X",C41,1)),"","EXECUTE, "), IF(ISERROR(FIND("F",C41,1)),"","REFERENCES")),IF(ISERROR(FIND("F",C41,1)), LEN(CONCATENATE(IF(ISERROR(FIND("V",C41,1)),"","RECEIVE, "), IF(ISERROR(FIND("C",C41,1)),"","INSERT, "),IF(ISERROR(FIND("R",C41,1)),"","SELECT, "), IF(ISERROR(FIND("U",C41,1)),"","UPDATE, "),IF(ISERROR(FIND("D",C41,1)),"","DELETE, "), IF(ISERROR(FIND("X",C41,1)),"","EXECUTE, ")))-2,LEN(CONCATENATE(IF(ISERROR(FIND("V",C41,1)),"","RECEIVE, "), IF(ISERROR(FIND("C",C41,1)),"","INSERT, "),IF(ISERROR(FIND("R",C41,1)),"","SELECT, "), IF(ISERROR(FIND("U",C41,1)),"","UPDATE, "),IF(ISERROR(FIND("D",C41,1)),"","DELETE, "), IF(ISERROR(FIND("X",C41,1)),"","EXECUTE, "),IF(ISERROR(FIND("F",C41,1)),"","REFERENCES"))))), " ON ",IF(ISERROR(FIND("[",$A41,1)),"[",""), $A41, IF(ISERROR(FIND("]",$A41,1)),"]",""), ".", IF(ISERROR(FIND("[",$B41,1)),"[",""), $B41, IF(ISERROR(FIND("]",$B41,1)),"]","")))), " TO ", IF(ISERROR(FIND("[",D$8,1)),"[",""), D$8, IF(ISERROR(FIND("]",D$8,1)),"]",""),";" ))</f>
        <v>GRANT INSERT, SELECT, UPDATE, DELETE, REFERENCES ON [Utility].[ModuleProgramming] TO [R_DemandaDW];</v>
      </c>
    </row>
    <row r="42" spans="1:4" ht="33.75" x14ac:dyDescent="0.2">
      <c r="A42" s="66" t="s">
        <v>144</v>
      </c>
      <c r="B42" s="66" t="s">
        <v>157</v>
      </c>
      <c r="C42" s="67" t="s">
        <v>121</v>
      </c>
      <c r="D42" s="68" t="str">
        <f>IF(OR($A42="", C42=""), "", CONCATENATE("GRANT ", IF(NOT(ISERROR(FIND("H",C42,1))), CONCATENATE("EXECUTE ON XML SCHEMA COLLECTION::",IF(ISERROR(FIND("[",$A42,1)),"[",""), $A42, IF(ISERROR(FIND("]",$A42,1)),"]",""), ".", IF(ISERROR(FIND("[",$B42,1)),"[",""), $B42, IF(ISERROR(FIND("]",$B42,1)),"]","")),IF(NOT(ISERROR(FIND("N",C42,1))), CONCATENATE("SEND ON SERVICE::",IF(ISERROR(FIND("[",$B42,1)),"[",""), $B42, IF(ISERROR(FIND("]",$B42,1)),"]","")),CONCATENATE(LEFT(CONCATENATE(IF(ISERROR(FIND("V",C42,1)),"","RECEIVE, "), IF(ISERROR(FIND("C",C42,1)),"","INSERT, "),IF(ISERROR(FIND("R",C42,1)),"","SELECT, "), IF(ISERROR(FIND("U",C42,1)),"","UPDATE, "),IF(ISERROR(FIND("D",C42,1)),"","DELETE, "), IF(ISERROR(FIND("X",C42,1)),"","EXECUTE, "), IF(ISERROR(FIND("F",C42,1)),"","REFERENCES")),IF(ISERROR(FIND("F",C42,1)), LEN(CONCATENATE(IF(ISERROR(FIND("V",C42,1)),"","RECEIVE, "), IF(ISERROR(FIND("C",C42,1)),"","INSERT, "),IF(ISERROR(FIND("R",C42,1)),"","SELECT, "), IF(ISERROR(FIND("U",C42,1)),"","UPDATE, "),IF(ISERROR(FIND("D",C42,1)),"","DELETE, "), IF(ISERROR(FIND("X",C42,1)),"","EXECUTE, ")))-2,LEN(CONCATENATE(IF(ISERROR(FIND("V",C42,1)),"","RECEIVE, "), IF(ISERROR(FIND("C",C42,1)),"","INSERT, "),IF(ISERROR(FIND("R",C42,1)),"","SELECT, "), IF(ISERROR(FIND("U",C42,1)),"","UPDATE, "),IF(ISERROR(FIND("D",C42,1)),"","DELETE, "), IF(ISERROR(FIND("X",C42,1)),"","EXECUTE, "),IF(ISERROR(FIND("F",C42,1)),"","REFERENCES"))))), " ON ",IF(ISERROR(FIND("[",$A42,1)),"[",""), $A42, IF(ISERROR(FIND("]",$A42,1)),"]",""), ".", IF(ISERROR(FIND("[",$B42,1)),"[",""), $B42, IF(ISERROR(FIND("]",$B42,1)),"]","")))), " TO ", IF(ISERROR(FIND("[",D$8,1)),"[",""), D$8, IF(ISERROR(FIND("]",D$8,1)),"]",""),";" ))</f>
        <v>GRANT INSERT, SELECT, UPDATE, DELETE, REFERENCES ON [Utility].[ModuleSystem] TO [R_DemandaDW];</v>
      </c>
    </row>
    <row r="43" spans="1:4" ht="33.75" x14ac:dyDescent="0.2">
      <c r="A43" s="66" t="s">
        <v>144</v>
      </c>
      <c r="B43" s="66" t="s">
        <v>158</v>
      </c>
      <c r="C43" s="67" t="s">
        <v>121</v>
      </c>
      <c r="D43" s="68" t="str">
        <f>IF(OR($A43="", C43=""), "", CONCATENATE("GRANT ", IF(NOT(ISERROR(FIND("H",C43,1))), CONCATENATE("EXECUTE ON XML SCHEMA COLLECTION::",IF(ISERROR(FIND("[",$A43,1)),"[",""), $A43, IF(ISERROR(FIND("]",$A43,1)),"]",""), ".", IF(ISERROR(FIND("[",$B43,1)),"[",""), $B43, IF(ISERROR(FIND("]",$B43,1)),"]","")),IF(NOT(ISERROR(FIND("N",C43,1))), CONCATENATE("SEND ON SERVICE::",IF(ISERROR(FIND("[",$B43,1)),"[",""), $B43, IF(ISERROR(FIND("]",$B43,1)),"]","")),CONCATENATE(LEFT(CONCATENATE(IF(ISERROR(FIND("V",C43,1)),"","RECEIVE, "), IF(ISERROR(FIND("C",C43,1)),"","INSERT, "),IF(ISERROR(FIND("R",C43,1)),"","SELECT, "), IF(ISERROR(FIND("U",C43,1)),"","UPDATE, "),IF(ISERROR(FIND("D",C43,1)),"","DELETE, "), IF(ISERROR(FIND("X",C43,1)),"","EXECUTE, "), IF(ISERROR(FIND("F",C43,1)),"","REFERENCES")),IF(ISERROR(FIND("F",C43,1)), LEN(CONCATENATE(IF(ISERROR(FIND("V",C43,1)),"","RECEIVE, "), IF(ISERROR(FIND("C",C43,1)),"","INSERT, "),IF(ISERROR(FIND("R",C43,1)),"","SELECT, "), IF(ISERROR(FIND("U",C43,1)),"","UPDATE, "),IF(ISERROR(FIND("D",C43,1)),"","DELETE, "), IF(ISERROR(FIND("X",C43,1)),"","EXECUTE, ")))-2,LEN(CONCATENATE(IF(ISERROR(FIND("V",C43,1)),"","RECEIVE, "), IF(ISERROR(FIND("C",C43,1)),"","INSERT, "),IF(ISERROR(FIND("R",C43,1)),"","SELECT, "), IF(ISERROR(FIND("U",C43,1)),"","UPDATE, "),IF(ISERROR(FIND("D",C43,1)),"","DELETE, "), IF(ISERROR(FIND("X",C43,1)),"","EXECUTE, "),IF(ISERROR(FIND("F",C43,1)),"","REFERENCES"))))), " ON ",IF(ISERROR(FIND("[",$A43,1)),"[",""), $A43, IF(ISERROR(FIND("]",$A43,1)),"]",""), ".", IF(ISERROR(FIND("[",$B43,1)),"[",""), $B43, IF(ISERROR(FIND("]",$B43,1)),"]","")))), " TO ", IF(ISERROR(FIND("[",D$8,1)),"[",""), D$8, IF(ISERROR(FIND("]",D$8,1)),"]",""),";" ))</f>
        <v>GRANT INSERT, SELECT, UPDATE, DELETE, REFERENCES ON [Utility].[ParameterKeyValue] TO [R_DemandaDW];</v>
      </c>
    </row>
    <row r="44" spans="1:4" ht="33.75" x14ac:dyDescent="0.2">
      <c r="A44" s="66" t="s">
        <v>144</v>
      </c>
      <c r="B44" s="66" t="s">
        <v>159</v>
      </c>
      <c r="C44" s="67" t="s">
        <v>121</v>
      </c>
      <c r="D44" s="68" t="str">
        <f>IF(OR($A44="", C44=""), "", CONCATENATE("GRANT ", IF(NOT(ISERROR(FIND("H",C44,1))), CONCATENATE("EXECUTE ON XML SCHEMA COLLECTION::",IF(ISERROR(FIND("[",$A44,1)),"[",""), $A44, IF(ISERROR(FIND("]",$A44,1)),"]",""), ".", IF(ISERROR(FIND("[",$B44,1)),"[",""), $B44, IF(ISERROR(FIND("]",$B44,1)),"]","")),IF(NOT(ISERROR(FIND("N",C44,1))), CONCATENATE("SEND ON SERVICE::",IF(ISERROR(FIND("[",$B44,1)),"[",""), $B44, IF(ISERROR(FIND("]",$B44,1)),"]","")),CONCATENATE(LEFT(CONCATENATE(IF(ISERROR(FIND("V",C44,1)),"","RECEIVE, "), IF(ISERROR(FIND("C",C44,1)),"","INSERT, "),IF(ISERROR(FIND("R",C44,1)),"","SELECT, "), IF(ISERROR(FIND("U",C44,1)),"","UPDATE, "),IF(ISERROR(FIND("D",C44,1)),"","DELETE, "), IF(ISERROR(FIND("X",C44,1)),"","EXECUTE, "), IF(ISERROR(FIND("F",C44,1)),"","REFERENCES")),IF(ISERROR(FIND("F",C44,1)), LEN(CONCATENATE(IF(ISERROR(FIND("V",C44,1)),"","RECEIVE, "), IF(ISERROR(FIND("C",C44,1)),"","INSERT, "),IF(ISERROR(FIND("R",C44,1)),"","SELECT, "), IF(ISERROR(FIND("U",C44,1)),"","UPDATE, "),IF(ISERROR(FIND("D",C44,1)),"","DELETE, "), IF(ISERROR(FIND("X",C44,1)),"","EXECUTE, ")))-2,LEN(CONCATENATE(IF(ISERROR(FIND("V",C44,1)),"","RECEIVE, "), IF(ISERROR(FIND("C",C44,1)),"","INSERT, "),IF(ISERROR(FIND("R",C44,1)),"","SELECT, "), IF(ISERROR(FIND("U",C44,1)),"","UPDATE, "),IF(ISERROR(FIND("D",C44,1)),"","DELETE, "), IF(ISERROR(FIND("X",C44,1)),"","EXECUTE, "),IF(ISERROR(FIND("F",C44,1)),"","REFERENCES"))))), " ON ",IF(ISERROR(FIND("[",$A44,1)),"[",""), $A44, IF(ISERROR(FIND("]",$A44,1)),"]",""), ".", IF(ISERROR(FIND("[",$B44,1)),"[",""), $B44, IF(ISERROR(FIND("]",$B44,1)),"]","")))), " TO ", IF(ISERROR(FIND("[",D$8,1)),"[",""), D$8, IF(ISERROR(FIND("]",D$8,1)),"]",""),";" ))</f>
        <v>GRANT INSERT, SELECT, UPDATE, DELETE, REFERENCES ON [Utility].[QuerySQL] TO [R_DemandaDW];</v>
      </c>
    </row>
    <row r="45" spans="1:4" ht="33.75" x14ac:dyDescent="0.2">
      <c r="A45" s="66" t="s">
        <v>144</v>
      </c>
      <c r="B45" s="66" t="s">
        <v>160</v>
      </c>
      <c r="C45" s="67" t="s">
        <v>121</v>
      </c>
      <c r="D45" s="68" t="str">
        <f>IF(OR($A45="", C45=""), "", CONCATENATE("GRANT ", IF(NOT(ISERROR(FIND("H",C45,1))), CONCATENATE("EXECUTE ON XML SCHEMA COLLECTION::",IF(ISERROR(FIND("[",$A45,1)),"[",""), $A45, IF(ISERROR(FIND("]",$A45,1)),"]",""), ".", IF(ISERROR(FIND("[",$B45,1)),"[",""), $B45, IF(ISERROR(FIND("]",$B45,1)),"]","")),IF(NOT(ISERROR(FIND("N",C45,1))), CONCATENATE("SEND ON SERVICE::",IF(ISERROR(FIND("[",$B45,1)),"[",""), $B45, IF(ISERROR(FIND("]",$B45,1)),"]","")),CONCATENATE(LEFT(CONCATENATE(IF(ISERROR(FIND("V",C45,1)),"","RECEIVE, "), IF(ISERROR(FIND("C",C45,1)),"","INSERT, "),IF(ISERROR(FIND("R",C45,1)),"","SELECT, "), IF(ISERROR(FIND("U",C45,1)),"","UPDATE, "),IF(ISERROR(FIND("D",C45,1)),"","DELETE, "), IF(ISERROR(FIND("X",C45,1)),"","EXECUTE, "), IF(ISERROR(FIND("F",C45,1)),"","REFERENCES")),IF(ISERROR(FIND("F",C45,1)), LEN(CONCATENATE(IF(ISERROR(FIND("V",C45,1)),"","RECEIVE, "), IF(ISERROR(FIND("C",C45,1)),"","INSERT, "),IF(ISERROR(FIND("R",C45,1)),"","SELECT, "), IF(ISERROR(FIND("U",C45,1)),"","UPDATE, "),IF(ISERROR(FIND("D",C45,1)),"","DELETE, "), IF(ISERROR(FIND("X",C45,1)),"","EXECUTE, ")))-2,LEN(CONCATENATE(IF(ISERROR(FIND("V",C45,1)),"","RECEIVE, "), IF(ISERROR(FIND("C",C45,1)),"","INSERT, "),IF(ISERROR(FIND("R",C45,1)),"","SELECT, "), IF(ISERROR(FIND("U",C45,1)),"","UPDATE, "),IF(ISERROR(FIND("D",C45,1)),"","DELETE, "), IF(ISERROR(FIND("X",C45,1)),"","EXECUTE, "),IF(ISERROR(FIND("F",C45,1)),"","REFERENCES"))))), " ON ",IF(ISERROR(FIND("[",$A45,1)),"[",""), $A45, IF(ISERROR(FIND("]",$A45,1)),"]",""), ".", IF(ISERROR(FIND("[",$B45,1)),"[",""), $B45, IF(ISERROR(FIND("]",$B45,1)),"]","")))), " TO ", IF(ISERROR(FIND("[",D$8,1)),"[",""), D$8, IF(ISERROR(FIND("]",D$8,1)),"]",""),";" ))</f>
        <v>GRANT INSERT, SELECT, UPDATE, DELETE, REFERENCES ON [Utility].[ScheduleSystem] TO [R_DemandaDW];</v>
      </c>
    </row>
    <row r="46" spans="1:4" ht="33.75" x14ac:dyDescent="0.2">
      <c r="A46" s="66" t="s">
        <v>144</v>
      </c>
      <c r="B46" s="66" t="s">
        <v>161</v>
      </c>
      <c r="C46" s="67" t="s">
        <v>121</v>
      </c>
      <c r="D46" s="68" t="str">
        <f>IF(OR($A46="", C46=""), "", CONCATENATE("GRANT ", IF(NOT(ISERROR(FIND("H",C46,1))), CONCATENATE("EXECUTE ON XML SCHEMA COLLECTION::",IF(ISERROR(FIND("[",$A46,1)),"[",""), $A46, IF(ISERROR(FIND("]",$A46,1)),"]",""), ".", IF(ISERROR(FIND("[",$B46,1)),"[",""), $B46, IF(ISERROR(FIND("]",$B46,1)),"]","")),IF(NOT(ISERROR(FIND("N",C46,1))), CONCATENATE("SEND ON SERVICE::",IF(ISERROR(FIND("[",$B46,1)),"[",""), $B46, IF(ISERROR(FIND("]",$B46,1)),"]","")),CONCATENATE(LEFT(CONCATENATE(IF(ISERROR(FIND("V",C46,1)),"","RECEIVE, "), IF(ISERROR(FIND("C",C46,1)),"","INSERT, "),IF(ISERROR(FIND("R",C46,1)),"","SELECT, "), IF(ISERROR(FIND("U",C46,1)),"","UPDATE, "),IF(ISERROR(FIND("D",C46,1)),"","DELETE, "), IF(ISERROR(FIND("X",C46,1)),"","EXECUTE, "), IF(ISERROR(FIND("F",C46,1)),"","REFERENCES")),IF(ISERROR(FIND("F",C46,1)), LEN(CONCATENATE(IF(ISERROR(FIND("V",C46,1)),"","RECEIVE, "), IF(ISERROR(FIND("C",C46,1)),"","INSERT, "),IF(ISERROR(FIND("R",C46,1)),"","SELECT, "), IF(ISERROR(FIND("U",C46,1)),"","UPDATE, "),IF(ISERROR(FIND("D",C46,1)),"","DELETE, "), IF(ISERROR(FIND("X",C46,1)),"","EXECUTE, ")))-2,LEN(CONCATENATE(IF(ISERROR(FIND("V",C46,1)),"","RECEIVE, "), IF(ISERROR(FIND("C",C46,1)),"","INSERT, "),IF(ISERROR(FIND("R",C46,1)),"","SELECT, "), IF(ISERROR(FIND("U",C46,1)),"","UPDATE, "),IF(ISERROR(FIND("D",C46,1)),"","DELETE, "), IF(ISERROR(FIND("X",C46,1)),"","EXECUTE, "),IF(ISERROR(FIND("F",C46,1)),"","REFERENCES"))))), " ON ",IF(ISERROR(FIND("[",$A46,1)),"[",""), $A46, IF(ISERROR(FIND("]",$A46,1)),"]",""), ".", IF(ISERROR(FIND("[",$B46,1)),"[",""), $B46, IF(ISERROR(FIND("]",$B46,1)),"]","")))), " TO ", IF(ISERROR(FIND("[",D$8,1)),"[",""), D$8, IF(ISERROR(FIND("]",D$8,1)),"]",""),";" ))</f>
        <v>GRANT INSERT, SELECT, UPDATE, DELETE, REFERENCES ON [Utility].[SpecialDate] TO [R_DemandaDW];</v>
      </c>
    </row>
    <row r="47" spans="1:4" ht="33.75" x14ac:dyDescent="0.2">
      <c r="A47" s="66" t="s">
        <v>144</v>
      </c>
      <c r="B47" s="66" t="s">
        <v>162</v>
      </c>
      <c r="C47" s="67" t="s">
        <v>121</v>
      </c>
      <c r="D47" s="68" t="str">
        <f>IF(OR($A47="", C47=""), "", CONCATENATE("GRANT ", IF(NOT(ISERROR(FIND("H",C47,1))), CONCATENATE("EXECUTE ON XML SCHEMA COLLECTION::",IF(ISERROR(FIND("[",$A47,1)),"[",""), $A47, IF(ISERROR(FIND("]",$A47,1)),"]",""), ".", IF(ISERROR(FIND("[",$B47,1)),"[",""), $B47, IF(ISERROR(FIND("]",$B47,1)),"]","")),IF(NOT(ISERROR(FIND("N",C47,1))), CONCATENATE("SEND ON SERVICE::",IF(ISERROR(FIND("[",$B47,1)),"[",""), $B47, IF(ISERROR(FIND("]",$B47,1)),"]","")),CONCATENATE(LEFT(CONCATENATE(IF(ISERROR(FIND("V",C47,1)),"","RECEIVE, "), IF(ISERROR(FIND("C",C47,1)),"","INSERT, "),IF(ISERROR(FIND("R",C47,1)),"","SELECT, "), IF(ISERROR(FIND("U",C47,1)),"","UPDATE, "),IF(ISERROR(FIND("D",C47,1)),"","DELETE, "), IF(ISERROR(FIND("X",C47,1)),"","EXECUTE, "), IF(ISERROR(FIND("F",C47,1)),"","REFERENCES")),IF(ISERROR(FIND("F",C47,1)), LEN(CONCATENATE(IF(ISERROR(FIND("V",C47,1)),"","RECEIVE, "), IF(ISERROR(FIND("C",C47,1)),"","INSERT, "),IF(ISERROR(FIND("R",C47,1)),"","SELECT, "), IF(ISERROR(FIND("U",C47,1)),"","UPDATE, "),IF(ISERROR(FIND("D",C47,1)),"","DELETE, "), IF(ISERROR(FIND("X",C47,1)),"","EXECUTE, ")))-2,LEN(CONCATENATE(IF(ISERROR(FIND("V",C47,1)),"","RECEIVE, "), IF(ISERROR(FIND("C",C47,1)),"","INSERT, "),IF(ISERROR(FIND("R",C47,1)),"","SELECT, "), IF(ISERROR(FIND("U",C47,1)),"","UPDATE, "),IF(ISERROR(FIND("D",C47,1)),"","DELETE, "), IF(ISERROR(FIND("X",C47,1)),"","EXECUTE, "),IF(ISERROR(FIND("F",C47,1)),"","REFERENCES"))))), " ON ",IF(ISERROR(FIND("[",$A47,1)),"[",""), $A47, IF(ISERROR(FIND("]",$A47,1)),"]",""), ".", IF(ISERROR(FIND("[",$B47,1)),"[",""), $B47, IF(ISERROR(FIND("]",$B47,1)),"]","")))), " TO ", IF(ISERROR(FIND("[",D$8,1)),"[",""), D$8, IF(ISERROR(FIND("]",D$8,1)),"]",""),";" ))</f>
        <v>GRANT INSERT, SELECT, UPDATE, DELETE, REFERENCES ON [Utility].[Subscription] TO [R_DemandaDW];</v>
      </c>
    </row>
    <row r="48" spans="1:4" ht="33.75" x14ac:dyDescent="0.2">
      <c r="A48" s="66" t="s">
        <v>144</v>
      </c>
      <c r="B48" s="66" t="s">
        <v>163</v>
      </c>
      <c r="C48" s="67" t="s">
        <v>121</v>
      </c>
      <c r="D48" s="68" t="str">
        <f>IF(OR($A48="", C48=""), "", CONCATENATE("GRANT ", IF(NOT(ISERROR(FIND("H",C48,1))), CONCATENATE("EXECUTE ON XML SCHEMA COLLECTION::",IF(ISERROR(FIND("[",$A48,1)),"[",""), $A48, IF(ISERROR(FIND("]",$A48,1)),"]",""), ".", IF(ISERROR(FIND("[",$B48,1)),"[",""), $B48, IF(ISERROR(FIND("]",$B48,1)),"]","")),IF(NOT(ISERROR(FIND("N",C48,1))), CONCATENATE("SEND ON SERVICE::",IF(ISERROR(FIND("[",$B48,1)),"[",""), $B48, IF(ISERROR(FIND("]",$B48,1)),"]","")),CONCATENATE(LEFT(CONCATENATE(IF(ISERROR(FIND("V",C48,1)),"","RECEIVE, "), IF(ISERROR(FIND("C",C48,1)),"","INSERT, "),IF(ISERROR(FIND("R",C48,1)),"","SELECT, "), IF(ISERROR(FIND("U",C48,1)),"","UPDATE, "),IF(ISERROR(FIND("D",C48,1)),"","DELETE, "), IF(ISERROR(FIND("X",C48,1)),"","EXECUTE, "), IF(ISERROR(FIND("F",C48,1)),"","REFERENCES")),IF(ISERROR(FIND("F",C48,1)), LEN(CONCATENATE(IF(ISERROR(FIND("V",C48,1)),"","RECEIVE, "), IF(ISERROR(FIND("C",C48,1)),"","INSERT, "),IF(ISERROR(FIND("R",C48,1)),"","SELECT, "), IF(ISERROR(FIND("U",C48,1)),"","UPDATE, "),IF(ISERROR(FIND("D",C48,1)),"","DELETE, "), IF(ISERROR(FIND("X",C48,1)),"","EXECUTE, ")))-2,LEN(CONCATENATE(IF(ISERROR(FIND("V",C48,1)),"","RECEIVE, "), IF(ISERROR(FIND("C",C48,1)),"","INSERT, "),IF(ISERROR(FIND("R",C48,1)),"","SELECT, "), IF(ISERROR(FIND("U",C48,1)),"","UPDATE, "),IF(ISERROR(FIND("D",C48,1)),"","DELETE, "), IF(ISERROR(FIND("X",C48,1)),"","EXECUTE, "),IF(ISERROR(FIND("F",C48,1)),"","REFERENCES"))))), " ON ",IF(ISERROR(FIND("[",$A48,1)),"[",""), $A48, IF(ISERROR(FIND("]",$A48,1)),"]",""), ".", IF(ISERROR(FIND("[",$B48,1)),"[",""), $B48, IF(ISERROR(FIND("]",$B48,1)),"]","")))), " TO ", IF(ISERROR(FIND("[",D$8,1)),"[",""), D$8, IF(ISERROR(FIND("]",D$8,1)),"]",""),";" ))</f>
        <v>GRANT INSERT, SELECT, UPDATE, DELETE, REFERENCES ON [Utility].[UserAgent] TO [R_DemandaDW];</v>
      </c>
    </row>
    <row r="49" spans="1:4" ht="33.75" x14ac:dyDescent="0.2">
      <c r="A49" s="66" t="s">
        <v>144</v>
      </c>
      <c r="B49" s="66" t="s">
        <v>164</v>
      </c>
      <c r="C49" s="67" t="s">
        <v>121</v>
      </c>
      <c r="D49" s="68" t="str">
        <f>IF(OR($A49="", C49=""), "", CONCATENATE("GRANT ", IF(NOT(ISERROR(FIND("H",C49,1))), CONCATENATE("EXECUTE ON XML SCHEMA COLLECTION::",IF(ISERROR(FIND("[",$A49,1)),"[",""), $A49, IF(ISERROR(FIND("]",$A49,1)),"]",""), ".", IF(ISERROR(FIND("[",$B49,1)),"[",""), $B49, IF(ISERROR(FIND("]",$B49,1)),"]","")),IF(NOT(ISERROR(FIND("N",C49,1))), CONCATENATE("SEND ON SERVICE::",IF(ISERROR(FIND("[",$B49,1)),"[",""), $B49, IF(ISERROR(FIND("]",$B49,1)),"]","")),CONCATENATE(LEFT(CONCATENATE(IF(ISERROR(FIND("V",C49,1)),"","RECEIVE, "), IF(ISERROR(FIND("C",C49,1)),"","INSERT, "),IF(ISERROR(FIND("R",C49,1)),"","SELECT, "), IF(ISERROR(FIND("U",C49,1)),"","UPDATE, "),IF(ISERROR(FIND("D",C49,1)),"","DELETE, "), IF(ISERROR(FIND("X",C49,1)),"","EXECUTE, "), IF(ISERROR(FIND("F",C49,1)),"","REFERENCES")),IF(ISERROR(FIND("F",C49,1)), LEN(CONCATENATE(IF(ISERROR(FIND("V",C49,1)),"","RECEIVE, "), IF(ISERROR(FIND("C",C49,1)),"","INSERT, "),IF(ISERROR(FIND("R",C49,1)),"","SELECT, "), IF(ISERROR(FIND("U",C49,1)),"","UPDATE, "),IF(ISERROR(FIND("D",C49,1)),"","DELETE, "), IF(ISERROR(FIND("X",C49,1)),"","EXECUTE, ")))-2,LEN(CONCATENATE(IF(ISERROR(FIND("V",C49,1)),"","RECEIVE, "), IF(ISERROR(FIND("C",C49,1)),"","INSERT, "),IF(ISERROR(FIND("R",C49,1)),"","SELECT, "), IF(ISERROR(FIND("U",C49,1)),"","UPDATE, "),IF(ISERROR(FIND("D",C49,1)),"","DELETE, "), IF(ISERROR(FIND("X",C49,1)),"","EXECUTE, "),IF(ISERROR(FIND("F",C49,1)),"","REFERENCES"))))), " ON ",IF(ISERROR(FIND("[",$A49,1)),"[",""), $A49, IF(ISERROR(FIND("]",$A49,1)),"]",""), ".", IF(ISERROR(FIND("[",$B49,1)),"[",""), $B49, IF(ISERROR(FIND("]",$B49,1)),"]","")))), " TO ", IF(ISERROR(FIND("[",D$8,1)),"[",""), D$8, IF(ISERROR(FIND("]",D$8,1)),"]",""),";" ))</f>
        <v>GRANT INSERT, SELECT, UPDATE, DELETE, REFERENCES ON [Utility].[UserDomain] TO [R_DemandaDW];</v>
      </c>
    </row>
    <row r="50" spans="1:4" x14ac:dyDescent="0.2">
      <c r="A50" s="66" t="s">
        <v>165</v>
      </c>
      <c r="B50" s="66" t="s">
        <v>165</v>
      </c>
      <c r="C50" s="67" t="s">
        <v>121</v>
      </c>
      <c r="D50" s="68" t="str">
        <f>IF(OR($A50="", C50=""), "", CONCATENATE("GRANT ", IF(NOT(ISERROR(FIND("H",C50,1))), CONCATENATE("EXECUTE ON XML SCHEMA COLLECTION::",IF(ISERROR(FIND("[",$A50,1)),"[",""), $A50, IF(ISERROR(FIND("]",$A50,1)),"]",""), ".", IF(ISERROR(FIND("[",$B50,1)),"[",""), $B50, IF(ISERROR(FIND("]",$B50,1)),"]","")),IF(NOT(ISERROR(FIND("N",C50,1))), CONCATENATE("SEND ON SERVICE::",IF(ISERROR(FIND("[",$B50,1)),"[",""), $B50, IF(ISERROR(FIND("]",$B50,1)),"]","")),CONCATENATE(LEFT(CONCATENATE(IF(ISERROR(FIND("V",C50,1)),"","RECEIVE, "), IF(ISERROR(FIND("C",C50,1)),"","INSERT, "),IF(ISERROR(FIND("R",C50,1)),"","SELECT, "), IF(ISERROR(FIND("U",C50,1)),"","UPDATE, "),IF(ISERROR(FIND("D",C50,1)),"","DELETE, "), IF(ISERROR(FIND("X",C50,1)),"","EXECUTE, "), IF(ISERROR(FIND("F",C50,1)),"","REFERENCES")),IF(ISERROR(FIND("F",C50,1)), LEN(CONCATENATE(IF(ISERROR(FIND("V",C50,1)),"","RECEIVE, "), IF(ISERROR(FIND("C",C50,1)),"","INSERT, "),IF(ISERROR(FIND("R",C50,1)),"","SELECT, "), IF(ISERROR(FIND("U",C50,1)),"","UPDATE, "),IF(ISERROR(FIND("D",C50,1)),"","DELETE, "), IF(ISERROR(FIND("X",C50,1)),"","EXECUTE, ")))-2,LEN(CONCATENATE(IF(ISERROR(FIND("V",C50,1)),"","RECEIVE, "), IF(ISERROR(FIND("C",C50,1)),"","INSERT, "),IF(ISERROR(FIND("R",C50,1)),"","SELECT, "), IF(ISERROR(FIND("U",C50,1)),"","UPDATE, "),IF(ISERROR(FIND("D",C50,1)),"","DELETE, "), IF(ISERROR(FIND("X",C50,1)),"","EXECUTE, "),IF(ISERROR(FIND("F",C50,1)),"","REFERENCES"))))), " ON ",IF(ISERROR(FIND("[",$A50,1)),"[",""), $A50, IF(ISERROR(FIND("]",$A50,1)),"]",""), ".", IF(ISERROR(FIND("[",$B50,1)),"[",""), $B50, IF(ISERROR(FIND("]",$B50,1)),"]","")))), " TO ", IF(ISERROR(FIND("[",D$8,1)),"[",""), D$8, IF(ISERROR(FIND("]",D$8,1)),"]",""),";" ))</f>
        <v/>
      </c>
    </row>
    <row r="51" spans="1:4" x14ac:dyDescent="0.2">
      <c r="A51" s="66" t="s">
        <v>165</v>
      </c>
      <c r="B51" s="66" t="s">
        <v>165</v>
      </c>
      <c r="C51" s="67" t="s">
        <v>121</v>
      </c>
      <c r="D51" s="68" t="str">
        <f>IF(OR($A51="", C51=""), "", CONCATENATE("GRANT ", IF(NOT(ISERROR(FIND("H",C51,1))), CONCATENATE("EXECUTE ON XML SCHEMA COLLECTION::",IF(ISERROR(FIND("[",$A51,1)),"[",""), $A51, IF(ISERROR(FIND("]",$A51,1)),"]",""), ".", IF(ISERROR(FIND("[",$B51,1)),"[",""), $B51, IF(ISERROR(FIND("]",$B51,1)),"]","")),IF(NOT(ISERROR(FIND("N",C51,1))), CONCATENATE("SEND ON SERVICE::",IF(ISERROR(FIND("[",$B51,1)),"[",""), $B51, IF(ISERROR(FIND("]",$B51,1)),"]","")),CONCATENATE(LEFT(CONCATENATE(IF(ISERROR(FIND("V",C51,1)),"","RECEIVE, "), IF(ISERROR(FIND("C",C51,1)),"","INSERT, "),IF(ISERROR(FIND("R",C51,1)),"","SELECT, "), IF(ISERROR(FIND("U",C51,1)),"","UPDATE, "),IF(ISERROR(FIND("D",C51,1)),"","DELETE, "), IF(ISERROR(FIND("X",C51,1)),"","EXECUTE, "), IF(ISERROR(FIND("F",C51,1)),"","REFERENCES")),IF(ISERROR(FIND("F",C51,1)), LEN(CONCATENATE(IF(ISERROR(FIND("V",C51,1)),"","RECEIVE, "), IF(ISERROR(FIND("C",C51,1)),"","INSERT, "),IF(ISERROR(FIND("R",C51,1)),"","SELECT, "), IF(ISERROR(FIND("U",C51,1)),"","UPDATE, "),IF(ISERROR(FIND("D",C51,1)),"","DELETE, "), IF(ISERROR(FIND("X",C51,1)),"","EXECUTE, ")))-2,LEN(CONCATENATE(IF(ISERROR(FIND("V",C51,1)),"","RECEIVE, "), IF(ISERROR(FIND("C",C51,1)),"","INSERT, "),IF(ISERROR(FIND("R",C51,1)),"","SELECT, "), IF(ISERROR(FIND("U",C51,1)),"","UPDATE, "),IF(ISERROR(FIND("D",C51,1)),"","DELETE, "), IF(ISERROR(FIND("X",C51,1)),"","EXECUTE, "),IF(ISERROR(FIND("F",C51,1)),"","REFERENCES"))))), " ON ",IF(ISERROR(FIND("[",$A51,1)),"[",""), $A51, IF(ISERROR(FIND("]",$A51,1)),"]",""), ".", IF(ISERROR(FIND("[",$B51,1)),"[",""), $B51, IF(ISERROR(FIND("]",$B51,1)),"]","")))), " TO ", IF(ISERROR(FIND("[",D$8,1)),"[",""), D$8, IF(ISERROR(FIND("]",D$8,1)),"]",""),";" ))</f>
        <v/>
      </c>
    </row>
    <row r="52" spans="1:4" x14ac:dyDescent="0.2">
      <c r="A52" s="69" t="s">
        <v>166</v>
      </c>
      <c r="B52" s="70"/>
      <c r="C52" s="70"/>
      <c r="D52" s="70"/>
    </row>
    <row r="53" spans="1:4" ht="33.75" x14ac:dyDescent="0.2">
      <c r="A53" s="71" t="s">
        <v>129</v>
      </c>
      <c r="B53" s="71" t="s">
        <v>167</v>
      </c>
      <c r="C53" s="72" t="s">
        <v>121</v>
      </c>
      <c r="D53" s="73" t="str">
        <f>IF(OR($A53="", C53=""), "", CONCATENATE("GRANT ", IF(NOT(ISERROR(FIND("H",C53,1))), CONCATENATE("EXECUTE ON XML SCHEMA COLLECTION::",IF(ISERROR(FIND("[",$A53,1)),"[",""), $A53, IF(ISERROR(FIND("]",$A53,1)),"]",""), ".", IF(ISERROR(FIND("[",$B53,1)),"[",""), $B53, IF(ISERROR(FIND("]",$B53,1)),"]","")),IF(NOT(ISERROR(FIND("N",C53,1))), CONCATENATE("SEND ON SERVICE::",IF(ISERROR(FIND("[",$B53,1)),"[",""), $B53, IF(ISERROR(FIND("]",$B53,1)),"]","")),CONCATENATE(LEFT(CONCATENATE(IF(ISERROR(FIND("V",C53,1)),"","RECEIVE, "), IF(ISERROR(FIND("C",C53,1)),"","INSERT, "),IF(ISERROR(FIND("R",C53,1)),"","SELECT, "), IF(ISERROR(FIND("U",C53,1)),"","UPDATE, "),IF(ISERROR(FIND("D",C53,1)),"","DELETE, "), IF(ISERROR(FIND("X",C53,1)),"","EXECUTE, "), IF(ISERROR(FIND("F",C53,1)),"","REFERENCES")),IF(ISERROR(FIND("F",C53,1)), LEN(CONCATENATE(IF(ISERROR(FIND("V",C53,1)),"","RECEIVE, "), IF(ISERROR(FIND("C",C53,1)),"","INSERT, "),IF(ISERROR(FIND("R",C53,1)),"","SELECT, "), IF(ISERROR(FIND("U",C53,1)),"","UPDATE, "),IF(ISERROR(FIND("D",C53,1)),"","DELETE, "), IF(ISERROR(FIND("X",C53,1)),"","EXECUTE, ")))-2,LEN(CONCATENATE(IF(ISERROR(FIND("V",C53,1)),"","RECEIVE, "), IF(ISERROR(FIND("C",C53,1)),"","INSERT, "),IF(ISERROR(FIND("R",C53,1)),"","SELECT, "), IF(ISERROR(FIND("U",C53,1)),"","UPDATE, "),IF(ISERROR(FIND("D",C53,1)),"","DELETE, "), IF(ISERROR(FIND("X",C53,1)),"","EXECUTE, "),IF(ISERROR(FIND("F",C53,1)),"","REFERENCES"))))), " ON ",IF(ISERROR(FIND("[",$A53,1)),"[",""), $A53, IF(ISERROR(FIND("]",$A53,1)),"]",""), ".", IF(ISERROR(FIND("[",$B53,1)),"[",""), $B53, IF(ISERROR(FIND("]",$B53,1)),"]","")))), " TO ", IF(ISERROR(FIND("[",D$8,1)),"[",""), D$8, IF(ISERROR(FIND("]",D$8,1)),"]",""),";" ))</f>
        <v>GRANT INSERT, SELECT, UPDATE, DELETE, REFERENCES ON [DW].[vFactDemandaPerdida] TO [R_DemandaDW];</v>
      </c>
    </row>
    <row r="54" spans="1:4" x14ac:dyDescent="0.2">
      <c r="A54" s="71" t="s">
        <v>165</v>
      </c>
      <c r="B54" s="71" t="s">
        <v>165</v>
      </c>
      <c r="C54" s="72" t="s">
        <v>121</v>
      </c>
      <c r="D54" s="73" t="str">
        <f>IF(OR($A54="", C54=""), "", CONCATENATE("GRANT ", IF(NOT(ISERROR(FIND("H",C54,1))), CONCATENATE("EXECUTE ON XML SCHEMA COLLECTION::",IF(ISERROR(FIND("[",$A54,1)),"[",""), $A54, IF(ISERROR(FIND("]",$A54,1)),"]",""), ".", IF(ISERROR(FIND("[",$B54,1)),"[",""), $B54, IF(ISERROR(FIND("]",$B54,1)),"]","")),IF(NOT(ISERROR(FIND("N",C54,1))), CONCATENATE("SEND ON SERVICE::",IF(ISERROR(FIND("[",$B54,1)),"[",""), $B54, IF(ISERROR(FIND("]",$B54,1)),"]","")),CONCATENATE(LEFT(CONCATENATE(IF(ISERROR(FIND("V",C54,1)),"","RECEIVE, "), IF(ISERROR(FIND("C",C54,1)),"","INSERT, "),IF(ISERROR(FIND("R",C54,1)),"","SELECT, "), IF(ISERROR(FIND("U",C54,1)),"","UPDATE, "),IF(ISERROR(FIND("D",C54,1)),"","DELETE, "), IF(ISERROR(FIND("X",C54,1)),"","EXECUTE, "), IF(ISERROR(FIND("F",C54,1)),"","REFERENCES")),IF(ISERROR(FIND("F",C54,1)), LEN(CONCATENATE(IF(ISERROR(FIND("V",C54,1)),"","RECEIVE, "), IF(ISERROR(FIND("C",C54,1)),"","INSERT, "),IF(ISERROR(FIND("R",C54,1)),"","SELECT, "), IF(ISERROR(FIND("U",C54,1)),"","UPDATE, "),IF(ISERROR(FIND("D",C54,1)),"","DELETE, "), IF(ISERROR(FIND("X",C54,1)),"","EXECUTE, ")))-2,LEN(CONCATENATE(IF(ISERROR(FIND("V",C54,1)),"","RECEIVE, "), IF(ISERROR(FIND("C",C54,1)),"","INSERT, "),IF(ISERROR(FIND("R",C54,1)),"","SELECT, "), IF(ISERROR(FIND("U",C54,1)),"","UPDATE, "),IF(ISERROR(FIND("D",C54,1)),"","DELETE, "), IF(ISERROR(FIND("X",C54,1)),"","EXECUTE, "),IF(ISERROR(FIND("F",C54,1)),"","REFERENCES"))))), " ON ",IF(ISERROR(FIND("[",$A54,1)),"[",""), $A54, IF(ISERROR(FIND("]",$A54,1)),"]",""), ".", IF(ISERROR(FIND("[",$B54,1)),"[",""), $B54, IF(ISERROR(FIND("]",$B54,1)),"]","")))), " TO ", IF(ISERROR(FIND("[",D$8,1)),"[",""), D$8, IF(ISERROR(FIND("]",D$8,1)),"]",""),";" ))</f>
        <v/>
      </c>
    </row>
    <row r="55" spans="1:4" x14ac:dyDescent="0.2">
      <c r="A55" s="71" t="s">
        <v>165</v>
      </c>
      <c r="B55" s="71" t="s">
        <v>165</v>
      </c>
      <c r="C55" s="72" t="s">
        <v>121</v>
      </c>
      <c r="D55" s="73" t="str">
        <f>IF(OR($A55="", C55=""), "", CONCATENATE("GRANT ", IF(NOT(ISERROR(FIND("H",C55,1))), CONCATENATE("EXECUTE ON XML SCHEMA COLLECTION::",IF(ISERROR(FIND("[",$A55,1)),"[",""), $A55, IF(ISERROR(FIND("]",$A55,1)),"]",""), ".", IF(ISERROR(FIND("[",$B55,1)),"[",""), $B55, IF(ISERROR(FIND("]",$B55,1)),"]","")),IF(NOT(ISERROR(FIND("N",C55,1))), CONCATENATE("SEND ON SERVICE::",IF(ISERROR(FIND("[",$B55,1)),"[",""), $B55, IF(ISERROR(FIND("]",$B55,1)),"]","")),CONCATENATE(LEFT(CONCATENATE(IF(ISERROR(FIND("V",C55,1)),"","RECEIVE, "), IF(ISERROR(FIND("C",C55,1)),"","INSERT, "),IF(ISERROR(FIND("R",C55,1)),"","SELECT, "), IF(ISERROR(FIND("U",C55,1)),"","UPDATE, "),IF(ISERROR(FIND("D",C55,1)),"","DELETE, "), IF(ISERROR(FIND("X",C55,1)),"","EXECUTE, "), IF(ISERROR(FIND("F",C55,1)),"","REFERENCES")),IF(ISERROR(FIND("F",C55,1)), LEN(CONCATENATE(IF(ISERROR(FIND("V",C55,1)),"","RECEIVE, "), IF(ISERROR(FIND("C",C55,1)),"","INSERT, "),IF(ISERROR(FIND("R",C55,1)),"","SELECT, "), IF(ISERROR(FIND("U",C55,1)),"","UPDATE, "),IF(ISERROR(FIND("D",C55,1)),"","DELETE, "), IF(ISERROR(FIND("X",C55,1)),"","EXECUTE, ")))-2,LEN(CONCATENATE(IF(ISERROR(FIND("V",C55,1)),"","RECEIVE, "), IF(ISERROR(FIND("C",C55,1)),"","INSERT, "),IF(ISERROR(FIND("R",C55,1)),"","SELECT, "), IF(ISERROR(FIND("U",C55,1)),"","UPDATE, "),IF(ISERROR(FIND("D",C55,1)),"","DELETE, "), IF(ISERROR(FIND("X",C55,1)),"","EXECUTE, "),IF(ISERROR(FIND("F",C55,1)),"","REFERENCES"))))), " ON ",IF(ISERROR(FIND("[",$A55,1)),"[",""), $A55, IF(ISERROR(FIND("]",$A55,1)),"]",""), ".", IF(ISERROR(FIND("[",$B55,1)),"[",""), $B55, IF(ISERROR(FIND("]",$B55,1)),"]","")))), " TO ", IF(ISERROR(FIND("[",D$8,1)),"[",""), D$8, IF(ISERROR(FIND("]",D$8,1)),"]",""),";" ))</f>
        <v/>
      </c>
    </row>
    <row r="56" spans="1:4" x14ac:dyDescent="0.2">
      <c r="A56" s="69" t="s">
        <v>168</v>
      </c>
      <c r="B56" s="70"/>
      <c r="C56" s="70"/>
      <c r="D56" s="70"/>
    </row>
    <row r="57" spans="1:4" ht="22.5" x14ac:dyDescent="0.2">
      <c r="A57" s="74" t="s">
        <v>119</v>
      </c>
      <c r="B57" s="74" t="s">
        <v>169</v>
      </c>
      <c r="C57" s="75" t="s">
        <v>170</v>
      </c>
      <c r="D57" s="76" t="str">
        <f>IF(OR($A57="", C57=""), "", CONCATENATE("GRANT ", IF(NOT(ISERROR(FIND("H",C57,1))), CONCATENATE("EXECUTE ON XML SCHEMA COLLECTION::",IF(ISERROR(FIND("[",$A57,1)),"[",""), $A57, IF(ISERROR(FIND("]",$A57,1)),"]",""), ".", IF(ISERROR(FIND("[",$B57,1)),"[",""), $B57, IF(ISERROR(FIND("]",$B57,1)),"]","")),IF(NOT(ISERROR(FIND("N",C57,1))), CONCATENATE("SEND ON SERVICE::",IF(ISERROR(FIND("[",$B57,1)),"[",""), $B57, IF(ISERROR(FIND("]",$B57,1)),"]","")),CONCATENATE(LEFT(CONCATENATE(IF(ISERROR(FIND("V",C57,1)),"","RECEIVE, "), IF(ISERROR(FIND("C",C57,1)),"","INSERT, "),IF(ISERROR(FIND("R",C57,1)),"","SELECT, "), IF(ISERROR(FIND("U",C57,1)),"","UPDATE, "),IF(ISERROR(FIND("D",C57,1)),"","DELETE, "), IF(ISERROR(FIND("X",C57,1)),"","EXECUTE, "), IF(ISERROR(FIND("F",C57,1)),"","REFERENCES")),IF(ISERROR(FIND("F",C57,1)), LEN(CONCATENATE(IF(ISERROR(FIND("V",C57,1)),"","RECEIVE, "), IF(ISERROR(FIND("C",C57,1)),"","INSERT, "),IF(ISERROR(FIND("R",C57,1)),"","SELECT, "), IF(ISERROR(FIND("U",C57,1)),"","UPDATE, "),IF(ISERROR(FIND("D",C57,1)),"","DELETE, "), IF(ISERROR(FIND("X",C57,1)),"","EXECUTE, ")))-2,LEN(CONCATENATE(IF(ISERROR(FIND("V",C57,1)),"","RECEIVE, "), IF(ISERROR(FIND("C",C57,1)),"","INSERT, "),IF(ISERROR(FIND("R",C57,1)),"","SELECT, "), IF(ISERROR(FIND("U",C57,1)),"","UPDATE, "),IF(ISERROR(FIND("D",C57,1)),"","DELETE, "), IF(ISERROR(FIND("X",C57,1)),"","EXECUTE, "),IF(ISERROR(FIND("F",C57,1)),"","REFERENCES"))))), " ON ",IF(ISERROR(FIND("[",$A57,1)),"[",""), $A57, IF(ISERROR(FIND("]",$A57,1)),"]",""), ".", IF(ISERROR(FIND("[",$B57,1)),"[",""), $B57, IF(ISERROR(FIND("]",$B57,1)),"]","")))), " TO ", IF(ISERROR(FIND("[",D$8,1)),"[",""), D$8, IF(ISERROR(FIND("]",D$8,1)),"]",""),";" ))</f>
        <v>GRANT EXECUTE, REFERENCES ON [Audit].[spBitacora_Cancel] TO [R_DemandaDW];</v>
      </c>
    </row>
    <row r="58" spans="1:4" ht="22.5" x14ac:dyDescent="0.2">
      <c r="A58" s="74" t="s">
        <v>119</v>
      </c>
      <c r="B58" s="74" t="s">
        <v>171</v>
      </c>
      <c r="C58" s="75" t="s">
        <v>170</v>
      </c>
      <c r="D58" s="76" t="str">
        <f>IF(OR($A58="", C58=""), "", CONCATENATE("GRANT ", IF(NOT(ISERROR(FIND("H",C58,1))), CONCATENATE("EXECUTE ON XML SCHEMA COLLECTION::",IF(ISERROR(FIND("[",$A58,1)),"[",""), $A58, IF(ISERROR(FIND("]",$A58,1)),"]",""), ".", IF(ISERROR(FIND("[",$B58,1)),"[",""), $B58, IF(ISERROR(FIND("]",$B58,1)),"]","")),IF(NOT(ISERROR(FIND("N",C58,1))), CONCATENATE("SEND ON SERVICE::",IF(ISERROR(FIND("[",$B58,1)),"[",""), $B58, IF(ISERROR(FIND("]",$B58,1)),"]","")),CONCATENATE(LEFT(CONCATENATE(IF(ISERROR(FIND("V",C58,1)),"","RECEIVE, "), IF(ISERROR(FIND("C",C58,1)),"","INSERT, "),IF(ISERROR(FIND("R",C58,1)),"","SELECT, "), IF(ISERROR(FIND("U",C58,1)),"","UPDATE, "),IF(ISERROR(FIND("D",C58,1)),"","DELETE, "), IF(ISERROR(FIND("X",C58,1)),"","EXECUTE, "), IF(ISERROR(FIND("F",C58,1)),"","REFERENCES")),IF(ISERROR(FIND("F",C58,1)), LEN(CONCATENATE(IF(ISERROR(FIND("V",C58,1)),"","RECEIVE, "), IF(ISERROR(FIND("C",C58,1)),"","INSERT, "),IF(ISERROR(FIND("R",C58,1)),"","SELECT, "), IF(ISERROR(FIND("U",C58,1)),"","UPDATE, "),IF(ISERROR(FIND("D",C58,1)),"","DELETE, "), IF(ISERROR(FIND("X",C58,1)),"","EXECUTE, ")))-2,LEN(CONCATENATE(IF(ISERROR(FIND("V",C58,1)),"","RECEIVE, "), IF(ISERROR(FIND("C",C58,1)),"","INSERT, "),IF(ISERROR(FIND("R",C58,1)),"","SELECT, "), IF(ISERROR(FIND("U",C58,1)),"","UPDATE, "),IF(ISERROR(FIND("D",C58,1)),"","DELETE, "), IF(ISERROR(FIND("X",C58,1)),"","EXECUTE, "),IF(ISERROR(FIND("F",C58,1)),"","REFERENCES"))))), " ON ",IF(ISERROR(FIND("[",$A58,1)),"[",""), $A58, IF(ISERROR(FIND("]",$A58,1)),"]",""), ".", IF(ISERROR(FIND("[",$B58,1)),"[",""), $B58, IF(ISERROR(FIND("]",$B58,1)),"]","")))), " TO ", IF(ISERROR(FIND("[",D$8,1)),"[",""), D$8, IF(ISERROR(FIND("]",D$8,1)),"]",""),";" ))</f>
        <v>GRANT EXECUTE, REFERENCES ON [Audit].[spBitacora_End] TO [R_DemandaDW];</v>
      </c>
    </row>
    <row r="59" spans="1:4" ht="22.5" x14ac:dyDescent="0.2">
      <c r="A59" s="74" t="s">
        <v>119</v>
      </c>
      <c r="B59" s="74" t="s">
        <v>172</v>
      </c>
      <c r="C59" s="75" t="s">
        <v>170</v>
      </c>
      <c r="D59" s="76" t="str">
        <f>IF(OR($A59="", C59=""), "", CONCATENATE("GRANT ", IF(NOT(ISERROR(FIND("H",C59,1))), CONCATENATE("EXECUTE ON XML SCHEMA COLLECTION::",IF(ISERROR(FIND("[",$A59,1)),"[",""), $A59, IF(ISERROR(FIND("]",$A59,1)),"]",""), ".", IF(ISERROR(FIND("[",$B59,1)),"[",""), $B59, IF(ISERROR(FIND("]",$B59,1)),"]","")),IF(NOT(ISERROR(FIND("N",C59,1))), CONCATENATE("SEND ON SERVICE::",IF(ISERROR(FIND("[",$B59,1)),"[",""), $B59, IF(ISERROR(FIND("]",$B59,1)),"]","")),CONCATENATE(LEFT(CONCATENATE(IF(ISERROR(FIND("V",C59,1)),"","RECEIVE, "), IF(ISERROR(FIND("C",C59,1)),"","INSERT, "),IF(ISERROR(FIND("R",C59,1)),"","SELECT, "), IF(ISERROR(FIND("U",C59,1)),"","UPDATE, "),IF(ISERROR(FIND("D",C59,1)),"","DELETE, "), IF(ISERROR(FIND("X",C59,1)),"","EXECUTE, "), IF(ISERROR(FIND("F",C59,1)),"","REFERENCES")),IF(ISERROR(FIND("F",C59,1)), LEN(CONCATENATE(IF(ISERROR(FIND("V",C59,1)),"","RECEIVE, "), IF(ISERROR(FIND("C",C59,1)),"","INSERT, "),IF(ISERROR(FIND("R",C59,1)),"","SELECT, "), IF(ISERROR(FIND("U",C59,1)),"","UPDATE, "),IF(ISERROR(FIND("D",C59,1)),"","DELETE, "), IF(ISERROR(FIND("X",C59,1)),"","EXECUTE, ")))-2,LEN(CONCATENATE(IF(ISERROR(FIND("V",C59,1)),"","RECEIVE, "), IF(ISERROR(FIND("C",C59,1)),"","INSERT, "),IF(ISERROR(FIND("R",C59,1)),"","SELECT, "), IF(ISERROR(FIND("U",C59,1)),"","UPDATE, "),IF(ISERROR(FIND("D",C59,1)),"","DELETE, "), IF(ISERROR(FIND("X",C59,1)),"","EXECUTE, "),IF(ISERROR(FIND("F",C59,1)),"","REFERENCES"))))), " ON ",IF(ISERROR(FIND("[",$A59,1)),"[",""), $A59, IF(ISERROR(FIND("]",$A59,1)),"]",""), ".", IF(ISERROR(FIND("[",$B59,1)),"[",""), $B59, IF(ISERROR(FIND("]",$B59,1)),"]","")))), " TO ", IF(ISERROR(FIND("[",D$8,1)),"[",""), D$8, IF(ISERROR(FIND("]",D$8,1)),"]",""),";" ))</f>
        <v>GRANT EXECUTE, REFERENCES ON [Audit].[spBitacora_Error] TO [R_DemandaDW];</v>
      </c>
    </row>
    <row r="60" spans="1:4" ht="22.5" x14ac:dyDescent="0.2">
      <c r="A60" s="74" t="s">
        <v>119</v>
      </c>
      <c r="B60" s="74" t="s">
        <v>173</v>
      </c>
      <c r="C60" s="75" t="s">
        <v>170</v>
      </c>
      <c r="D60" s="76" t="str">
        <f>IF(OR($A60="", C60=""), "", CONCATENATE("GRANT ", IF(NOT(ISERROR(FIND("H",C60,1))), CONCATENATE("EXECUTE ON XML SCHEMA COLLECTION::",IF(ISERROR(FIND("[",$A60,1)),"[",""), $A60, IF(ISERROR(FIND("]",$A60,1)),"]",""), ".", IF(ISERROR(FIND("[",$B60,1)),"[",""), $B60, IF(ISERROR(FIND("]",$B60,1)),"]","")),IF(NOT(ISERROR(FIND("N",C60,1))), CONCATENATE("SEND ON SERVICE::",IF(ISERROR(FIND("[",$B60,1)),"[",""), $B60, IF(ISERROR(FIND("]",$B60,1)),"]","")),CONCATENATE(LEFT(CONCATENATE(IF(ISERROR(FIND("V",C60,1)),"","RECEIVE, "), IF(ISERROR(FIND("C",C60,1)),"","INSERT, "),IF(ISERROR(FIND("R",C60,1)),"","SELECT, "), IF(ISERROR(FIND("U",C60,1)),"","UPDATE, "),IF(ISERROR(FIND("D",C60,1)),"","DELETE, "), IF(ISERROR(FIND("X",C60,1)),"","EXECUTE, "), IF(ISERROR(FIND("F",C60,1)),"","REFERENCES")),IF(ISERROR(FIND("F",C60,1)), LEN(CONCATENATE(IF(ISERROR(FIND("V",C60,1)),"","RECEIVE, "), IF(ISERROR(FIND("C",C60,1)),"","INSERT, "),IF(ISERROR(FIND("R",C60,1)),"","SELECT, "), IF(ISERROR(FIND("U",C60,1)),"","UPDATE, "),IF(ISERROR(FIND("D",C60,1)),"","DELETE, "), IF(ISERROR(FIND("X",C60,1)),"","EXECUTE, ")))-2,LEN(CONCATENATE(IF(ISERROR(FIND("V",C60,1)),"","RECEIVE, "), IF(ISERROR(FIND("C",C60,1)),"","INSERT, "),IF(ISERROR(FIND("R",C60,1)),"","SELECT, "), IF(ISERROR(FIND("U",C60,1)),"","UPDATE, "),IF(ISERROR(FIND("D",C60,1)),"","DELETE, "), IF(ISERROR(FIND("X",C60,1)),"","EXECUTE, "),IF(ISERROR(FIND("F",C60,1)),"","REFERENCES"))))), " ON ",IF(ISERROR(FIND("[",$A60,1)),"[",""), $A60, IF(ISERROR(FIND("]",$A60,1)),"]",""), ".", IF(ISERROR(FIND("[",$B60,1)),"[",""), $B60, IF(ISERROR(FIND("]",$B60,1)),"]","")))), " TO ", IF(ISERROR(FIND("[",D$8,1)),"[",""), D$8, IF(ISERROR(FIND("]",D$8,1)),"]",""),";" ))</f>
        <v>GRANT EXECUTE, REFERENCES ON [Audit].[spBitacora_Start] TO [R_DemandaDW];</v>
      </c>
    </row>
    <row r="61" spans="1:4" ht="33.75" x14ac:dyDescent="0.2">
      <c r="A61" s="74" t="s">
        <v>119</v>
      </c>
      <c r="B61" s="74" t="s">
        <v>174</v>
      </c>
      <c r="C61" s="75" t="s">
        <v>170</v>
      </c>
      <c r="D61" s="76" t="str">
        <f>IF(OR($A61="", C61=""), "", CONCATENATE("GRANT ", IF(NOT(ISERROR(FIND("H",C61,1))), CONCATENATE("EXECUTE ON XML SCHEMA COLLECTION::",IF(ISERROR(FIND("[",$A61,1)),"[",""), $A61, IF(ISERROR(FIND("]",$A61,1)),"]",""), ".", IF(ISERROR(FIND("[",$B61,1)),"[",""), $B61, IF(ISERROR(FIND("]",$B61,1)),"]","")),IF(NOT(ISERROR(FIND("N",C61,1))), CONCATENATE("SEND ON SERVICE::",IF(ISERROR(FIND("[",$B61,1)),"[",""), $B61, IF(ISERROR(FIND("]",$B61,1)),"]","")),CONCATENATE(LEFT(CONCATENATE(IF(ISERROR(FIND("V",C61,1)),"","RECEIVE, "), IF(ISERROR(FIND("C",C61,1)),"","INSERT, "),IF(ISERROR(FIND("R",C61,1)),"","SELECT, "), IF(ISERROR(FIND("U",C61,1)),"","UPDATE, "),IF(ISERROR(FIND("D",C61,1)),"","DELETE, "), IF(ISERROR(FIND("X",C61,1)),"","EXECUTE, "), IF(ISERROR(FIND("F",C61,1)),"","REFERENCES")),IF(ISERROR(FIND("F",C61,1)), LEN(CONCATENATE(IF(ISERROR(FIND("V",C61,1)),"","RECEIVE, "), IF(ISERROR(FIND("C",C61,1)),"","INSERT, "),IF(ISERROR(FIND("R",C61,1)),"","SELECT, "), IF(ISERROR(FIND("U",C61,1)),"","UPDATE, "),IF(ISERROR(FIND("D",C61,1)),"","DELETE, "), IF(ISERROR(FIND("X",C61,1)),"","EXECUTE, ")))-2,LEN(CONCATENATE(IF(ISERROR(FIND("V",C61,1)),"","RECEIVE, "), IF(ISERROR(FIND("C",C61,1)),"","INSERT, "),IF(ISERROR(FIND("R",C61,1)),"","SELECT, "), IF(ISERROR(FIND("U",C61,1)),"","UPDATE, "),IF(ISERROR(FIND("D",C61,1)),"","DELETE, "), IF(ISERROR(FIND("X",C61,1)),"","EXECUTE, "),IF(ISERROR(FIND("F",C61,1)),"","REFERENCES"))))), " ON ",IF(ISERROR(FIND("[",$A61,1)),"[",""), $A61, IF(ISERROR(FIND("]",$A61,1)),"]",""), ".", IF(ISERROR(FIND("[",$B61,1)),"[",""), $B61, IF(ISERROR(FIND("]",$B61,1)),"]","")))), " TO ", IF(ISERROR(FIND("[",D$8,1)),"[",""), D$8, IF(ISERROR(FIND("]",D$8,1)),"]",""),";" ))</f>
        <v>GRANT EXECUTE, REFERENCES ON [Audit].[spBitacoraDetail_Insert] TO [R_DemandaDW];</v>
      </c>
    </row>
    <row r="62" spans="1:4" ht="33.75" x14ac:dyDescent="0.2">
      <c r="A62" s="74" t="s">
        <v>119</v>
      </c>
      <c r="B62" s="74" t="s">
        <v>175</v>
      </c>
      <c r="C62" s="75" t="s">
        <v>170</v>
      </c>
      <c r="D62" s="76" t="str">
        <f>IF(OR($A62="", C62=""), "", CONCATENATE("GRANT ", IF(NOT(ISERROR(FIND("H",C62,1))), CONCATENATE("EXECUTE ON XML SCHEMA COLLECTION::",IF(ISERROR(FIND("[",$A62,1)),"[",""), $A62, IF(ISERROR(FIND("]",$A62,1)),"]",""), ".", IF(ISERROR(FIND("[",$B62,1)),"[",""), $B62, IF(ISERROR(FIND("]",$B62,1)),"]","")),IF(NOT(ISERROR(FIND("N",C62,1))), CONCATENATE("SEND ON SERVICE::",IF(ISERROR(FIND("[",$B62,1)),"[",""), $B62, IF(ISERROR(FIND("]",$B62,1)),"]","")),CONCATENATE(LEFT(CONCATENATE(IF(ISERROR(FIND("V",C62,1)),"","RECEIVE, "), IF(ISERROR(FIND("C",C62,1)),"","INSERT, "),IF(ISERROR(FIND("R",C62,1)),"","SELECT, "), IF(ISERROR(FIND("U",C62,1)),"","UPDATE, "),IF(ISERROR(FIND("D",C62,1)),"","DELETE, "), IF(ISERROR(FIND("X",C62,1)),"","EXECUTE, "), IF(ISERROR(FIND("F",C62,1)),"","REFERENCES")),IF(ISERROR(FIND("F",C62,1)), LEN(CONCATENATE(IF(ISERROR(FIND("V",C62,1)),"","RECEIVE, "), IF(ISERROR(FIND("C",C62,1)),"","INSERT, "),IF(ISERROR(FIND("R",C62,1)),"","SELECT, "), IF(ISERROR(FIND("U",C62,1)),"","UPDATE, "),IF(ISERROR(FIND("D",C62,1)),"","DELETE, "), IF(ISERROR(FIND("X",C62,1)),"","EXECUTE, ")))-2,LEN(CONCATENATE(IF(ISERROR(FIND("V",C62,1)),"","RECEIVE, "), IF(ISERROR(FIND("C",C62,1)),"","INSERT, "),IF(ISERROR(FIND("R",C62,1)),"","SELECT, "), IF(ISERROR(FIND("U",C62,1)),"","UPDATE, "),IF(ISERROR(FIND("D",C62,1)),"","DELETE, "), IF(ISERROR(FIND("X",C62,1)),"","EXECUTE, "),IF(ISERROR(FIND("F",C62,1)),"","REFERENCES"))))), " ON ",IF(ISERROR(FIND("[",$A62,1)),"[",""), $A62, IF(ISERROR(FIND("]",$A62,1)),"]",""), ".", IF(ISERROR(FIND("[",$B62,1)),"[",""), $B62, IF(ISERROR(FIND("]",$B62,1)),"]","")))), " TO ", IF(ISERROR(FIND("[",D$8,1)),"[",""), D$8, IF(ISERROR(FIND("]",D$8,1)),"]",""),";" ))</f>
        <v>GRANT EXECUTE, REFERENCES ON [Audit].[spBitacoraFile_Cancel] TO [R_DemandaDW];</v>
      </c>
    </row>
    <row r="63" spans="1:4" ht="22.5" x14ac:dyDescent="0.2">
      <c r="A63" s="74" t="s">
        <v>119</v>
      </c>
      <c r="B63" s="74" t="s">
        <v>176</v>
      </c>
      <c r="C63" s="75" t="s">
        <v>170</v>
      </c>
      <c r="D63" s="76" t="str">
        <f>IF(OR($A63="", C63=""), "", CONCATENATE("GRANT ", IF(NOT(ISERROR(FIND("H",C63,1))), CONCATENATE("EXECUTE ON XML SCHEMA COLLECTION::",IF(ISERROR(FIND("[",$A63,1)),"[",""), $A63, IF(ISERROR(FIND("]",$A63,1)),"]",""), ".", IF(ISERROR(FIND("[",$B63,1)),"[",""), $B63, IF(ISERROR(FIND("]",$B63,1)),"]","")),IF(NOT(ISERROR(FIND("N",C63,1))), CONCATENATE("SEND ON SERVICE::",IF(ISERROR(FIND("[",$B63,1)),"[",""), $B63, IF(ISERROR(FIND("]",$B63,1)),"]","")),CONCATENATE(LEFT(CONCATENATE(IF(ISERROR(FIND("V",C63,1)),"","RECEIVE, "), IF(ISERROR(FIND("C",C63,1)),"","INSERT, "),IF(ISERROR(FIND("R",C63,1)),"","SELECT, "), IF(ISERROR(FIND("U",C63,1)),"","UPDATE, "),IF(ISERROR(FIND("D",C63,1)),"","DELETE, "), IF(ISERROR(FIND("X",C63,1)),"","EXECUTE, "), IF(ISERROR(FIND("F",C63,1)),"","REFERENCES")),IF(ISERROR(FIND("F",C63,1)), LEN(CONCATENATE(IF(ISERROR(FIND("V",C63,1)),"","RECEIVE, "), IF(ISERROR(FIND("C",C63,1)),"","INSERT, "),IF(ISERROR(FIND("R",C63,1)),"","SELECT, "), IF(ISERROR(FIND("U",C63,1)),"","UPDATE, "),IF(ISERROR(FIND("D",C63,1)),"","DELETE, "), IF(ISERROR(FIND("X",C63,1)),"","EXECUTE, ")))-2,LEN(CONCATENATE(IF(ISERROR(FIND("V",C63,1)),"","RECEIVE, "), IF(ISERROR(FIND("C",C63,1)),"","INSERT, "),IF(ISERROR(FIND("R",C63,1)),"","SELECT, "), IF(ISERROR(FIND("U",C63,1)),"","UPDATE, "),IF(ISERROR(FIND("D",C63,1)),"","DELETE, "), IF(ISERROR(FIND("X",C63,1)),"","EXECUTE, "),IF(ISERROR(FIND("F",C63,1)),"","REFERENCES"))))), " ON ",IF(ISERROR(FIND("[",$A63,1)),"[",""), $A63, IF(ISERROR(FIND("]",$A63,1)),"]",""), ".", IF(ISERROR(FIND("[",$B63,1)),"[",""), $B63, IF(ISERROR(FIND("]",$B63,1)),"]","")))), " TO ", IF(ISERROR(FIND("[",D$8,1)),"[",""), D$8, IF(ISERROR(FIND("]",D$8,1)),"]",""),";" ))</f>
        <v>GRANT EXECUTE, REFERENCES ON [Audit].[spBitacoraFile_End] TO [R_DemandaDW];</v>
      </c>
    </row>
    <row r="64" spans="1:4" ht="33.75" x14ac:dyDescent="0.2">
      <c r="A64" s="74" t="s">
        <v>119</v>
      </c>
      <c r="B64" s="74" t="s">
        <v>177</v>
      </c>
      <c r="C64" s="75" t="s">
        <v>170</v>
      </c>
      <c r="D64" s="76" t="str">
        <f>IF(OR($A64="", C64=""), "", CONCATENATE("GRANT ", IF(NOT(ISERROR(FIND("H",C64,1))), CONCATENATE("EXECUTE ON XML SCHEMA COLLECTION::",IF(ISERROR(FIND("[",$A64,1)),"[",""), $A64, IF(ISERROR(FIND("]",$A64,1)),"]",""), ".", IF(ISERROR(FIND("[",$B64,1)),"[",""), $B64, IF(ISERROR(FIND("]",$B64,1)),"]","")),IF(NOT(ISERROR(FIND("N",C64,1))), CONCATENATE("SEND ON SERVICE::",IF(ISERROR(FIND("[",$B64,1)),"[",""), $B64, IF(ISERROR(FIND("]",$B64,1)),"]","")),CONCATENATE(LEFT(CONCATENATE(IF(ISERROR(FIND("V",C64,1)),"","RECEIVE, "), IF(ISERROR(FIND("C",C64,1)),"","INSERT, "),IF(ISERROR(FIND("R",C64,1)),"","SELECT, "), IF(ISERROR(FIND("U",C64,1)),"","UPDATE, "),IF(ISERROR(FIND("D",C64,1)),"","DELETE, "), IF(ISERROR(FIND("X",C64,1)),"","EXECUTE, "), IF(ISERROR(FIND("F",C64,1)),"","REFERENCES")),IF(ISERROR(FIND("F",C64,1)), LEN(CONCATENATE(IF(ISERROR(FIND("V",C64,1)),"","RECEIVE, "), IF(ISERROR(FIND("C",C64,1)),"","INSERT, "),IF(ISERROR(FIND("R",C64,1)),"","SELECT, "), IF(ISERROR(FIND("U",C64,1)),"","UPDATE, "),IF(ISERROR(FIND("D",C64,1)),"","DELETE, "), IF(ISERROR(FIND("X",C64,1)),"","EXECUTE, ")))-2,LEN(CONCATENATE(IF(ISERROR(FIND("V",C64,1)),"","RECEIVE, "), IF(ISERROR(FIND("C",C64,1)),"","INSERT, "),IF(ISERROR(FIND("R",C64,1)),"","SELECT, "), IF(ISERROR(FIND("U",C64,1)),"","UPDATE, "),IF(ISERROR(FIND("D",C64,1)),"","DELETE, "), IF(ISERROR(FIND("X",C64,1)),"","EXECUTE, "),IF(ISERROR(FIND("F",C64,1)),"","REFERENCES"))))), " ON ",IF(ISERROR(FIND("[",$A64,1)),"[",""), $A64, IF(ISERROR(FIND("]",$A64,1)),"]",""), ".", IF(ISERROR(FIND("[",$B64,1)),"[",""), $B64, IF(ISERROR(FIND("]",$B64,1)),"]","")))), " TO ", IF(ISERROR(FIND("[",D$8,1)),"[",""), D$8, IF(ISERROR(FIND("]",D$8,1)),"]",""),";" ))</f>
        <v>GRANT EXECUTE, REFERENCES ON [Audit].[spBitacoraFile_Error] TO [R_DemandaDW];</v>
      </c>
    </row>
    <row r="65" spans="1:4" ht="33.75" x14ac:dyDescent="0.2">
      <c r="A65" s="74" t="s">
        <v>119</v>
      </c>
      <c r="B65" s="74" t="s">
        <v>178</v>
      </c>
      <c r="C65" s="75" t="s">
        <v>170</v>
      </c>
      <c r="D65" s="76" t="str">
        <f>IF(OR($A65="", C65=""), "", CONCATENATE("GRANT ", IF(NOT(ISERROR(FIND("H",C65,1))), CONCATENATE("EXECUTE ON XML SCHEMA COLLECTION::",IF(ISERROR(FIND("[",$A65,1)),"[",""), $A65, IF(ISERROR(FIND("]",$A65,1)),"]",""), ".", IF(ISERROR(FIND("[",$B65,1)),"[",""), $B65, IF(ISERROR(FIND("]",$B65,1)),"]","")),IF(NOT(ISERROR(FIND("N",C65,1))), CONCATENATE("SEND ON SERVICE::",IF(ISERROR(FIND("[",$B65,1)),"[",""), $B65, IF(ISERROR(FIND("]",$B65,1)),"]","")),CONCATENATE(LEFT(CONCATENATE(IF(ISERROR(FIND("V",C65,1)),"","RECEIVE, "), IF(ISERROR(FIND("C",C65,1)),"","INSERT, "),IF(ISERROR(FIND("R",C65,1)),"","SELECT, "), IF(ISERROR(FIND("U",C65,1)),"","UPDATE, "),IF(ISERROR(FIND("D",C65,1)),"","DELETE, "), IF(ISERROR(FIND("X",C65,1)),"","EXECUTE, "), IF(ISERROR(FIND("F",C65,1)),"","REFERENCES")),IF(ISERROR(FIND("F",C65,1)), LEN(CONCATENATE(IF(ISERROR(FIND("V",C65,1)),"","RECEIVE, "), IF(ISERROR(FIND("C",C65,1)),"","INSERT, "),IF(ISERROR(FIND("R",C65,1)),"","SELECT, "), IF(ISERROR(FIND("U",C65,1)),"","UPDATE, "),IF(ISERROR(FIND("D",C65,1)),"","DELETE, "), IF(ISERROR(FIND("X",C65,1)),"","EXECUTE, ")))-2,LEN(CONCATENATE(IF(ISERROR(FIND("V",C65,1)),"","RECEIVE, "), IF(ISERROR(FIND("C",C65,1)),"","INSERT, "),IF(ISERROR(FIND("R",C65,1)),"","SELECT, "), IF(ISERROR(FIND("U",C65,1)),"","UPDATE, "),IF(ISERROR(FIND("D",C65,1)),"","DELETE, "), IF(ISERROR(FIND("X",C65,1)),"","EXECUTE, "),IF(ISERROR(FIND("F",C65,1)),"","REFERENCES"))))), " ON ",IF(ISERROR(FIND("[",$A65,1)),"[",""), $A65, IF(ISERROR(FIND("]",$A65,1)),"]",""), ".", IF(ISERROR(FIND("[",$B65,1)),"[",""), $B65, IF(ISERROR(FIND("]",$B65,1)),"]","")))), " TO ", IF(ISERROR(FIND("[",D$8,1)),"[",""), D$8, IF(ISERROR(FIND("]",D$8,1)),"]",""),";" ))</f>
        <v>GRANT EXECUTE, REFERENCES ON [Audit].[spBitacoraFile_GetFileId] TO [R_DemandaDW];</v>
      </c>
    </row>
    <row r="66" spans="1:4" ht="33.75" x14ac:dyDescent="0.2">
      <c r="A66" s="74" t="s">
        <v>119</v>
      </c>
      <c r="B66" s="74" t="s">
        <v>179</v>
      </c>
      <c r="C66" s="75" t="s">
        <v>170</v>
      </c>
      <c r="D66" s="76" t="str">
        <f>IF(OR($A66="", C66=""), "", CONCATENATE("GRANT ", IF(NOT(ISERROR(FIND("H",C66,1))), CONCATENATE("EXECUTE ON XML SCHEMA COLLECTION::",IF(ISERROR(FIND("[",$A66,1)),"[",""), $A66, IF(ISERROR(FIND("]",$A66,1)),"]",""), ".", IF(ISERROR(FIND("[",$B66,1)),"[",""), $B66, IF(ISERROR(FIND("]",$B66,1)),"]","")),IF(NOT(ISERROR(FIND("N",C66,1))), CONCATENATE("SEND ON SERVICE::",IF(ISERROR(FIND("[",$B66,1)),"[",""), $B66, IF(ISERROR(FIND("]",$B66,1)),"]","")),CONCATENATE(LEFT(CONCATENATE(IF(ISERROR(FIND("V",C66,1)),"","RECEIVE, "), IF(ISERROR(FIND("C",C66,1)),"","INSERT, "),IF(ISERROR(FIND("R",C66,1)),"","SELECT, "), IF(ISERROR(FIND("U",C66,1)),"","UPDATE, "),IF(ISERROR(FIND("D",C66,1)),"","DELETE, "), IF(ISERROR(FIND("X",C66,1)),"","EXECUTE, "), IF(ISERROR(FIND("F",C66,1)),"","REFERENCES")),IF(ISERROR(FIND("F",C66,1)), LEN(CONCATENATE(IF(ISERROR(FIND("V",C66,1)),"","RECEIVE, "), IF(ISERROR(FIND("C",C66,1)),"","INSERT, "),IF(ISERROR(FIND("R",C66,1)),"","SELECT, "), IF(ISERROR(FIND("U",C66,1)),"","UPDATE, "),IF(ISERROR(FIND("D",C66,1)),"","DELETE, "), IF(ISERROR(FIND("X",C66,1)),"","EXECUTE, ")))-2,LEN(CONCATENATE(IF(ISERROR(FIND("V",C66,1)),"","RECEIVE, "), IF(ISERROR(FIND("C",C66,1)),"","INSERT, "),IF(ISERROR(FIND("R",C66,1)),"","SELECT, "), IF(ISERROR(FIND("U",C66,1)),"","UPDATE, "),IF(ISERROR(FIND("D",C66,1)),"","DELETE, "), IF(ISERROR(FIND("X",C66,1)),"","EXECUTE, "),IF(ISERROR(FIND("F",C66,1)),"","REFERENCES"))))), " ON ",IF(ISERROR(FIND("[",$A66,1)),"[",""), $A66, IF(ISERROR(FIND("]",$A66,1)),"]",""), ".", IF(ISERROR(FIND("[",$B66,1)),"[",""), $B66, IF(ISERROR(FIND("]",$B66,1)),"]","")))), " TO ", IF(ISERROR(FIND("[",D$8,1)),"[",""), D$8, IF(ISERROR(FIND("]",D$8,1)),"]",""),";" ))</f>
        <v>GRANT EXECUTE, REFERENCES ON [Audit].[spBitacoraFile_IsErrorCanceled] TO [R_DemandaDW];</v>
      </c>
    </row>
    <row r="67" spans="1:4" ht="33.75" x14ac:dyDescent="0.2">
      <c r="A67" s="74" t="s">
        <v>119</v>
      </c>
      <c r="B67" s="74" t="s">
        <v>180</v>
      </c>
      <c r="C67" s="75" t="s">
        <v>170</v>
      </c>
      <c r="D67" s="76" t="str">
        <f>IF(OR($A67="", C67=""), "", CONCATENATE("GRANT ", IF(NOT(ISERROR(FIND("H",C67,1))), CONCATENATE("EXECUTE ON XML SCHEMA COLLECTION::",IF(ISERROR(FIND("[",$A67,1)),"[",""), $A67, IF(ISERROR(FIND("]",$A67,1)),"]",""), ".", IF(ISERROR(FIND("[",$B67,1)),"[",""), $B67, IF(ISERROR(FIND("]",$B67,1)),"]","")),IF(NOT(ISERROR(FIND("N",C67,1))), CONCATENATE("SEND ON SERVICE::",IF(ISERROR(FIND("[",$B67,1)),"[",""), $B67, IF(ISERROR(FIND("]",$B67,1)),"]","")),CONCATENATE(LEFT(CONCATENATE(IF(ISERROR(FIND("V",C67,1)),"","RECEIVE, "), IF(ISERROR(FIND("C",C67,1)),"","INSERT, "),IF(ISERROR(FIND("R",C67,1)),"","SELECT, "), IF(ISERROR(FIND("U",C67,1)),"","UPDATE, "),IF(ISERROR(FIND("D",C67,1)),"","DELETE, "), IF(ISERROR(FIND("X",C67,1)),"","EXECUTE, "), IF(ISERROR(FIND("F",C67,1)),"","REFERENCES")),IF(ISERROR(FIND("F",C67,1)), LEN(CONCATENATE(IF(ISERROR(FIND("V",C67,1)),"","RECEIVE, "), IF(ISERROR(FIND("C",C67,1)),"","INSERT, "),IF(ISERROR(FIND("R",C67,1)),"","SELECT, "), IF(ISERROR(FIND("U",C67,1)),"","UPDATE, "),IF(ISERROR(FIND("D",C67,1)),"","DELETE, "), IF(ISERROR(FIND("X",C67,1)),"","EXECUTE, ")))-2,LEN(CONCATENATE(IF(ISERROR(FIND("V",C67,1)),"","RECEIVE, "), IF(ISERROR(FIND("C",C67,1)),"","INSERT, "),IF(ISERROR(FIND("R",C67,1)),"","SELECT, "), IF(ISERROR(FIND("U",C67,1)),"","UPDATE, "),IF(ISERROR(FIND("D",C67,1)),"","DELETE, "), IF(ISERROR(FIND("X",C67,1)),"","EXECUTE, "),IF(ISERROR(FIND("F",C67,1)),"","REFERENCES"))))), " ON ",IF(ISERROR(FIND("[",$A67,1)),"[",""), $A67, IF(ISERROR(FIND("]",$A67,1)),"]",""), ".", IF(ISERROR(FIND("[",$B67,1)),"[",""), $B67, IF(ISERROR(FIND("]",$B67,1)),"]","")))), " TO ", IF(ISERROR(FIND("[",D$8,1)),"[",""), D$8, IF(ISERROR(FIND("]",D$8,1)),"]",""),";" ))</f>
        <v>GRANT EXECUTE, REFERENCES ON [Audit].[spBitacoraFile_Start] TO [R_DemandaDW];</v>
      </c>
    </row>
    <row r="68" spans="1:4" ht="33.75" x14ac:dyDescent="0.2">
      <c r="A68" s="74" t="s">
        <v>119</v>
      </c>
      <c r="B68" s="74" t="s">
        <v>181</v>
      </c>
      <c r="C68" s="75" t="s">
        <v>170</v>
      </c>
      <c r="D68" s="76" t="str">
        <f>IF(OR($A68="", C68=""), "", CONCATENATE("GRANT ", IF(NOT(ISERROR(FIND("H",C68,1))), CONCATENATE("EXECUTE ON XML SCHEMA COLLECTION::",IF(ISERROR(FIND("[",$A68,1)),"[",""), $A68, IF(ISERROR(FIND("]",$A68,1)),"]",""), ".", IF(ISERROR(FIND("[",$B68,1)),"[",""), $B68, IF(ISERROR(FIND("]",$B68,1)),"]","")),IF(NOT(ISERROR(FIND("N",C68,1))), CONCATENATE("SEND ON SERVICE::",IF(ISERROR(FIND("[",$B68,1)),"[",""), $B68, IF(ISERROR(FIND("]",$B68,1)),"]","")),CONCATENATE(LEFT(CONCATENATE(IF(ISERROR(FIND("V",C68,1)),"","RECEIVE, "), IF(ISERROR(FIND("C",C68,1)),"","INSERT, "),IF(ISERROR(FIND("R",C68,1)),"","SELECT, "), IF(ISERROR(FIND("U",C68,1)),"","UPDATE, "),IF(ISERROR(FIND("D",C68,1)),"","DELETE, "), IF(ISERROR(FIND("X",C68,1)),"","EXECUTE, "), IF(ISERROR(FIND("F",C68,1)),"","REFERENCES")),IF(ISERROR(FIND("F",C68,1)), LEN(CONCATENATE(IF(ISERROR(FIND("V",C68,1)),"","RECEIVE, "), IF(ISERROR(FIND("C",C68,1)),"","INSERT, "),IF(ISERROR(FIND("R",C68,1)),"","SELECT, "), IF(ISERROR(FIND("U",C68,1)),"","UPDATE, "),IF(ISERROR(FIND("D",C68,1)),"","DELETE, "), IF(ISERROR(FIND("X",C68,1)),"","EXECUTE, ")))-2,LEN(CONCATENATE(IF(ISERROR(FIND("V",C68,1)),"","RECEIVE, "), IF(ISERROR(FIND("C",C68,1)),"","INSERT, "),IF(ISERROR(FIND("R",C68,1)),"","SELECT, "), IF(ISERROR(FIND("U",C68,1)),"","UPDATE, "),IF(ISERROR(FIND("D",C68,1)),"","DELETE, "), IF(ISERROR(FIND("X",C68,1)),"","EXECUTE, "),IF(ISERROR(FIND("F",C68,1)),"","REFERENCES"))))), " ON ",IF(ISERROR(FIND("[",$A68,1)),"[",""), $A68, IF(ISERROR(FIND("]",$A68,1)),"]",""), ".", IF(ISERROR(FIND("[",$B68,1)),"[",""), $B68, IF(ISERROR(FIND("]",$B68,1)),"]","")))), " TO ", IF(ISERROR(FIND("[",D$8,1)),"[",""), D$8, IF(ISERROR(FIND("]",D$8,1)),"]",""),";" ))</f>
        <v>GRANT EXECUTE, REFERENCES ON [Audit].[spBitacoraFile_Validate] TO [R_DemandaDW];</v>
      </c>
    </row>
    <row r="69" spans="1:4" ht="33.75" x14ac:dyDescent="0.2">
      <c r="A69" s="74" t="s">
        <v>119</v>
      </c>
      <c r="B69" s="74" t="s">
        <v>182</v>
      </c>
      <c r="C69" s="75" t="s">
        <v>170</v>
      </c>
      <c r="D69" s="76" t="str">
        <f>IF(OR($A69="", C69=""), "", CONCATENATE("GRANT ", IF(NOT(ISERROR(FIND("H",C69,1))), CONCATENATE("EXECUTE ON XML SCHEMA COLLECTION::",IF(ISERROR(FIND("[",$A69,1)),"[",""), $A69, IF(ISERROR(FIND("]",$A69,1)),"]",""), ".", IF(ISERROR(FIND("[",$B69,1)),"[",""), $B69, IF(ISERROR(FIND("]",$B69,1)),"]","")),IF(NOT(ISERROR(FIND("N",C69,1))), CONCATENATE("SEND ON SERVICE::",IF(ISERROR(FIND("[",$B69,1)),"[",""), $B69, IF(ISERROR(FIND("]",$B69,1)),"]","")),CONCATENATE(LEFT(CONCATENATE(IF(ISERROR(FIND("V",C69,1)),"","RECEIVE, "), IF(ISERROR(FIND("C",C69,1)),"","INSERT, "),IF(ISERROR(FIND("R",C69,1)),"","SELECT, "), IF(ISERROR(FIND("U",C69,1)),"","UPDATE, "),IF(ISERROR(FIND("D",C69,1)),"","DELETE, "), IF(ISERROR(FIND("X",C69,1)),"","EXECUTE, "), IF(ISERROR(FIND("F",C69,1)),"","REFERENCES")),IF(ISERROR(FIND("F",C69,1)), LEN(CONCATENATE(IF(ISERROR(FIND("V",C69,1)),"","RECEIVE, "), IF(ISERROR(FIND("C",C69,1)),"","INSERT, "),IF(ISERROR(FIND("R",C69,1)),"","SELECT, "), IF(ISERROR(FIND("U",C69,1)),"","UPDATE, "),IF(ISERROR(FIND("D",C69,1)),"","DELETE, "), IF(ISERROR(FIND("X",C69,1)),"","EXECUTE, ")))-2,LEN(CONCATENATE(IF(ISERROR(FIND("V",C69,1)),"","RECEIVE, "), IF(ISERROR(FIND("C",C69,1)),"","INSERT, "),IF(ISERROR(FIND("R",C69,1)),"","SELECT, "), IF(ISERROR(FIND("U",C69,1)),"","UPDATE, "),IF(ISERROR(FIND("D",C69,1)),"","DELETE, "), IF(ISERROR(FIND("X",C69,1)),"","EXECUTE, "),IF(ISERROR(FIND("F",C69,1)),"","REFERENCES"))))), " ON ",IF(ISERROR(FIND("[",$A69,1)),"[",""), $A69, IF(ISERROR(FIND("]",$A69,1)),"]",""), ".", IF(ISERROR(FIND("[",$B69,1)),"[",""), $B69, IF(ISERROR(FIND("]",$B69,1)),"]","")))), " TO ", IF(ISERROR(FIND("[",D$8,1)),"[",""), D$8, IF(ISERROR(FIND("]",D$8,1)),"]",""),";" ))</f>
        <v>GRANT EXECUTE, REFERENCES ON [Audit].[spBitacoraStatistic_End] TO [R_DemandaDW];</v>
      </c>
    </row>
    <row r="70" spans="1:4" ht="33.75" x14ac:dyDescent="0.2">
      <c r="A70" s="74" t="s">
        <v>119</v>
      </c>
      <c r="B70" s="74" t="s">
        <v>183</v>
      </c>
      <c r="C70" s="75" t="s">
        <v>170</v>
      </c>
      <c r="D70" s="76" t="str">
        <f>IF(OR($A70="", C70=""), "", CONCATENATE("GRANT ", IF(NOT(ISERROR(FIND("H",C70,1))), CONCATENATE("EXECUTE ON XML SCHEMA COLLECTION::",IF(ISERROR(FIND("[",$A70,1)),"[",""), $A70, IF(ISERROR(FIND("]",$A70,1)),"]",""), ".", IF(ISERROR(FIND("[",$B70,1)),"[",""), $B70, IF(ISERROR(FIND("]",$B70,1)),"]","")),IF(NOT(ISERROR(FIND("N",C70,1))), CONCATENATE("SEND ON SERVICE::",IF(ISERROR(FIND("[",$B70,1)),"[",""), $B70, IF(ISERROR(FIND("]",$B70,1)),"]","")),CONCATENATE(LEFT(CONCATENATE(IF(ISERROR(FIND("V",C70,1)),"","RECEIVE, "), IF(ISERROR(FIND("C",C70,1)),"","INSERT, "),IF(ISERROR(FIND("R",C70,1)),"","SELECT, "), IF(ISERROR(FIND("U",C70,1)),"","UPDATE, "),IF(ISERROR(FIND("D",C70,1)),"","DELETE, "), IF(ISERROR(FIND("X",C70,1)),"","EXECUTE, "), IF(ISERROR(FIND("F",C70,1)),"","REFERENCES")),IF(ISERROR(FIND("F",C70,1)), LEN(CONCATENATE(IF(ISERROR(FIND("V",C70,1)),"","RECEIVE, "), IF(ISERROR(FIND("C",C70,1)),"","INSERT, "),IF(ISERROR(FIND("R",C70,1)),"","SELECT, "), IF(ISERROR(FIND("U",C70,1)),"","UPDATE, "),IF(ISERROR(FIND("D",C70,1)),"","DELETE, "), IF(ISERROR(FIND("X",C70,1)),"","EXECUTE, ")))-2,LEN(CONCATENATE(IF(ISERROR(FIND("V",C70,1)),"","RECEIVE, "), IF(ISERROR(FIND("C",C70,1)),"","INSERT, "),IF(ISERROR(FIND("R",C70,1)),"","SELECT, "), IF(ISERROR(FIND("U",C70,1)),"","UPDATE, "),IF(ISERROR(FIND("D",C70,1)),"","DELETE, "), IF(ISERROR(FIND("X",C70,1)),"","EXECUTE, "),IF(ISERROR(FIND("F",C70,1)),"","REFERENCES"))))), " ON ",IF(ISERROR(FIND("[",$A70,1)),"[",""), $A70, IF(ISERROR(FIND("]",$A70,1)),"]",""), ".", IF(ISERROR(FIND("[",$B70,1)),"[",""), $B70, IF(ISERROR(FIND("]",$B70,1)),"]","")))), " TO ", IF(ISERROR(FIND("[",D$8,1)),"[",""), D$8, IF(ISERROR(FIND("]",D$8,1)),"]",""),";" ))</f>
        <v>GRANT EXECUTE, REFERENCES ON [Audit].[spBitacoraStatistic_Start] TO [R_DemandaDW];</v>
      </c>
    </row>
    <row r="71" spans="1:4" ht="33.75" x14ac:dyDescent="0.2">
      <c r="A71" s="74" t="s">
        <v>119</v>
      </c>
      <c r="B71" s="74" t="s">
        <v>184</v>
      </c>
      <c r="C71" s="75" t="s">
        <v>170</v>
      </c>
      <c r="D71" s="76" t="str">
        <f>IF(OR($A71="", C71=""), "", CONCATENATE("GRANT ", IF(NOT(ISERROR(FIND("H",C71,1))), CONCATENATE("EXECUTE ON XML SCHEMA COLLECTION::",IF(ISERROR(FIND("[",$A71,1)),"[",""), $A71, IF(ISERROR(FIND("]",$A71,1)),"]",""), ".", IF(ISERROR(FIND("[",$B71,1)),"[",""), $B71, IF(ISERROR(FIND("]",$B71,1)),"]","")),IF(NOT(ISERROR(FIND("N",C71,1))), CONCATENATE("SEND ON SERVICE::",IF(ISERROR(FIND("[",$B71,1)),"[",""), $B71, IF(ISERROR(FIND("]",$B71,1)),"]","")),CONCATENATE(LEFT(CONCATENATE(IF(ISERROR(FIND("V",C71,1)),"","RECEIVE, "), IF(ISERROR(FIND("C",C71,1)),"","INSERT, "),IF(ISERROR(FIND("R",C71,1)),"","SELECT, "), IF(ISERROR(FIND("U",C71,1)),"","UPDATE, "),IF(ISERROR(FIND("D",C71,1)),"","DELETE, "), IF(ISERROR(FIND("X",C71,1)),"","EXECUTE, "), IF(ISERROR(FIND("F",C71,1)),"","REFERENCES")),IF(ISERROR(FIND("F",C71,1)), LEN(CONCATENATE(IF(ISERROR(FIND("V",C71,1)),"","RECEIVE, "), IF(ISERROR(FIND("C",C71,1)),"","INSERT, "),IF(ISERROR(FIND("R",C71,1)),"","SELECT, "), IF(ISERROR(FIND("U",C71,1)),"","UPDATE, "),IF(ISERROR(FIND("D",C71,1)),"","DELETE, "), IF(ISERROR(FIND("X",C71,1)),"","EXECUTE, ")))-2,LEN(CONCATENATE(IF(ISERROR(FIND("V",C71,1)),"","RECEIVE, "), IF(ISERROR(FIND("C",C71,1)),"","INSERT, "),IF(ISERROR(FIND("R",C71,1)),"","SELECT, "), IF(ISERROR(FIND("U",C71,1)),"","UPDATE, "),IF(ISERROR(FIND("D",C71,1)),"","DELETE, "), IF(ISERROR(FIND("X",C71,1)),"","EXECUTE, "),IF(ISERROR(FIND("F",C71,1)),"","REFERENCES"))))), " ON ",IF(ISERROR(FIND("[",$A71,1)),"[",""), $A71, IF(ISERROR(FIND("]",$A71,1)),"]",""), ".", IF(ISERROR(FIND("[",$B71,1)),"[",""), $B71, IF(ISERROR(FIND("]",$B71,1)),"]","")))), " TO ", IF(ISERROR(FIND("[",D$8,1)),"[",""), D$8, IF(ISERROR(FIND("]",D$8,1)),"]",""),";" ))</f>
        <v>GRANT EXECUTE, REFERENCES ON [Audit].[spBitacoraTable_Insert] TO [R_DemandaDW];</v>
      </c>
    </row>
    <row r="72" spans="1:4" ht="22.5" x14ac:dyDescent="0.2">
      <c r="A72" s="74" t="s">
        <v>129</v>
      </c>
      <c r="B72" s="74" t="s">
        <v>185</v>
      </c>
      <c r="C72" s="75" t="s">
        <v>170</v>
      </c>
      <c r="D72" s="76" t="str">
        <f>IF(OR($A72="", C72=""), "", CONCATENATE("GRANT ", IF(NOT(ISERROR(FIND("H",C72,1))), CONCATENATE("EXECUTE ON XML SCHEMA COLLECTION::",IF(ISERROR(FIND("[",$A72,1)),"[",""), $A72, IF(ISERROR(FIND("]",$A72,1)),"]",""), ".", IF(ISERROR(FIND("[",$B72,1)),"[",""), $B72, IF(ISERROR(FIND("]",$B72,1)),"]","")),IF(NOT(ISERROR(FIND("N",C72,1))), CONCATENATE("SEND ON SERVICE::",IF(ISERROR(FIND("[",$B72,1)),"[",""), $B72, IF(ISERROR(FIND("]",$B72,1)),"]","")),CONCATENATE(LEFT(CONCATENATE(IF(ISERROR(FIND("V",C72,1)),"","RECEIVE, "), IF(ISERROR(FIND("C",C72,1)),"","INSERT, "),IF(ISERROR(FIND("R",C72,1)),"","SELECT, "), IF(ISERROR(FIND("U",C72,1)),"","UPDATE, "),IF(ISERROR(FIND("D",C72,1)),"","DELETE, "), IF(ISERROR(FIND("X",C72,1)),"","EXECUTE, "), IF(ISERROR(FIND("F",C72,1)),"","REFERENCES")),IF(ISERROR(FIND("F",C72,1)), LEN(CONCATENATE(IF(ISERROR(FIND("V",C72,1)),"","RECEIVE, "), IF(ISERROR(FIND("C",C72,1)),"","INSERT, "),IF(ISERROR(FIND("R",C72,1)),"","SELECT, "), IF(ISERROR(FIND("U",C72,1)),"","UPDATE, "),IF(ISERROR(FIND("D",C72,1)),"","DELETE, "), IF(ISERROR(FIND("X",C72,1)),"","EXECUTE, ")))-2,LEN(CONCATENATE(IF(ISERROR(FIND("V",C72,1)),"","RECEIVE, "), IF(ISERROR(FIND("C",C72,1)),"","INSERT, "),IF(ISERROR(FIND("R",C72,1)),"","SELECT, "), IF(ISERROR(FIND("U",C72,1)),"","UPDATE, "),IF(ISERROR(FIND("D",C72,1)),"","DELETE, "), IF(ISERROR(FIND("X",C72,1)),"","EXECUTE, "),IF(ISERROR(FIND("F",C72,1)),"","REFERENCES"))))), " ON ",IF(ISERROR(FIND("[",$A72,1)),"[",""), $A72, IF(ISERROR(FIND("]",$A72,1)),"]",""), ".", IF(ISERROR(FIND("[",$B72,1)),"[",""), $B72, IF(ISERROR(FIND("]",$B72,1)),"]","")))), " TO ", IF(ISERROR(FIND("[",D$8,1)),"[",""), D$8, IF(ISERROR(FIND("]",D$8,1)),"]",""),";" ))</f>
        <v>GRANT EXECUTE, REFERENCES ON [DW].[spInferDimAgente] TO [R_DemandaDW];</v>
      </c>
    </row>
    <row r="73" spans="1:4" ht="22.5" x14ac:dyDescent="0.2">
      <c r="A73" s="74" t="s">
        <v>129</v>
      </c>
      <c r="B73" s="74" t="s">
        <v>186</v>
      </c>
      <c r="C73" s="75" t="s">
        <v>170</v>
      </c>
      <c r="D73" s="76" t="str">
        <f>IF(OR($A73="", C73=""), "", CONCATENATE("GRANT ", IF(NOT(ISERROR(FIND("H",C73,1))), CONCATENATE("EXECUTE ON XML SCHEMA COLLECTION::",IF(ISERROR(FIND("[",$A73,1)),"[",""), $A73, IF(ISERROR(FIND("]",$A73,1)),"]",""), ".", IF(ISERROR(FIND("[",$B73,1)),"[",""), $B73, IF(ISERROR(FIND("]",$B73,1)),"]","")),IF(NOT(ISERROR(FIND("N",C73,1))), CONCATENATE("SEND ON SERVICE::",IF(ISERROR(FIND("[",$B73,1)),"[",""), $B73, IF(ISERROR(FIND("]",$B73,1)),"]","")),CONCATENATE(LEFT(CONCATENATE(IF(ISERROR(FIND("V",C73,1)),"","RECEIVE, "), IF(ISERROR(FIND("C",C73,1)),"","INSERT, "),IF(ISERROR(FIND("R",C73,1)),"","SELECT, "), IF(ISERROR(FIND("U",C73,1)),"","UPDATE, "),IF(ISERROR(FIND("D",C73,1)),"","DELETE, "), IF(ISERROR(FIND("X",C73,1)),"","EXECUTE, "), IF(ISERROR(FIND("F",C73,1)),"","REFERENCES")),IF(ISERROR(FIND("F",C73,1)), LEN(CONCATENATE(IF(ISERROR(FIND("V",C73,1)),"","RECEIVE, "), IF(ISERROR(FIND("C",C73,1)),"","INSERT, "),IF(ISERROR(FIND("R",C73,1)),"","SELECT, "), IF(ISERROR(FIND("U",C73,1)),"","UPDATE, "),IF(ISERROR(FIND("D",C73,1)),"","DELETE, "), IF(ISERROR(FIND("X",C73,1)),"","EXECUTE, ")))-2,LEN(CONCATENATE(IF(ISERROR(FIND("V",C73,1)),"","RECEIVE, "), IF(ISERROR(FIND("C",C73,1)),"","INSERT, "),IF(ISERROR(FIND("R",C73,1)),"","SELECT, "), IF(ISERROR(FIND("U",C73,1)),"","UPDATE, "),IF(ISERROR(FIND("D",C73,1)),"","DELETE, "), IF(ISERROR(FIND("X",C73,1)),"","EXECUTE, "),IF(ISERROR(FIND("F",C73,1)),"","REFERENCES"))))), " ON ",IF(ISERROR(FIND("[",$A73,1)),"[",""), $A73, IF(ISERROR(FIND("]",$A73,1)),"]",""), ".", IF(ISERROR(FIND("[",$B73,1)),"[",""), $B73, IF(ISERROR(FIND("]",$B73,1)),"]","")))), " TO ", IF(ISERROR(FIND("[",D$8,1)),"[",""), D$8, IF(ISERROR(FIND("]",D$8,1)),"]",""),";" ))</f>
        <v>GRANT EXECUTE, REFERENCES ON [DW].[spInferDimCompania] TO [R_DemandaDW];</v>
      </c>
    </row>
    <row r="74" spans="1:4" ht="22.5" x14ac:dyDescent="0.2">
      <c r="A74" s="74" t="s">
        <v>129</v>
      </c>
      <c r="B74" s="74" t="s">
        <v>187</v>
      </c>
      <c r="C74" s="75" t="s">
        <v>170</v>
      </c>
      <c r="D74" s="76" t="str">
        <f>IF(OR($A74="", C74=""), "", CONCATENATE("GRANT ", IF(NOT(ISERROR(FIND("H",C74,1))), CONCATENATE("EXECUTE ON XML SCHEMA COLLECTION::",IF(ISERROR(FIND("[",$A74,1)),"[",""), $A74, IF(ISERROR(FIND("]",$A74,1)),"]",""), ".", IF(ISERROR(FIND("[",$B74,1)),"[",""), $B74, IF(ISERROR(FIND("]",$B74,1)),"]","")),IF(NOT(ISERROR(FIND("N",C74,1))), CONCATENATE("SEND ON SERVICE::",IF(ISERROR(FIND("[",$B74,1)),"[",""), $B74, IF(ISERROR(FIND("]",$B74,1)),"]","")),CONCATENATE(LEFT(CONCATENATE(IF(ISERROR(FIND("V",C74,1)),"","RECEIVE, "), IF(ISERROR(FIND("C",C74,1)),"","INSERT, "),IF(ISERROR(FIND("R",C74,1)),"","SELECT, "), IF(ISERROR(FIND("U",C74,1)),"","UPDATE, "),IF(ISERROR(FIND("D",C74,1)),"","DELETE, "), IF(ISERROR(FIND("X",C74,1)),"","EXECUTE, "), IF(ISERROR(FIND("F",C74,1)),"","REFERENCES")),IF(ISERROR(FIND("F",C74,1)), LEN(CONCATENATE(IF(ISERROR(FIND("V",C74,1)),"","RECEIVE, "), IF(ISERROR(FIND("C",C74,1)),"","INSERT, "),IF(ISERROR(FIND("R",C74,1)),"","SELECT, "), IF(ISERROR(FIND("U",C74,1)),"","UPDATE, "),IF(ISERROR(FIND("D",C74,1)),"","DELETE, "), IF(ISERROR(FIND("X",C74,1)),"","EXECUTE, ")))-2,LEN(CONCATENATE(IF(ISERROR(FIND("V",C74,1)),"","RECEIVE, "), IF(ISERROR(FIND("C",C74,1)),"","INSERT, "),IF(ISERROR(FIND("R",C74,1)),"","SELECT, "), IF(ISERROR(FIND("U",C74,1)),"","UPDATE, "),IF(ISERROR(FIND("D",C74,1)),"","DELETE, "), IF(ISERROR(FIND("X",C74,1)),"","EXECUTE, "),IF(ISERROR(FIND("F",C74,1)),"","REFERENCES"))))), " ON ",IF(ISERROR(FIND("[",$A74,1)),"[",""), $A74, IF(ISERROR(FIND("]",$A74,1)),"]",""), ".", IF(ISERROR(FIND("[",$B74,1)),"[",""), $B74, IF(ISERROR(FIND("]",$B74,1)),"]","")))), " TO ", IF(ISERROR(FIND("[",D$8,1)),"[",""), D$8, IF(ISERROR(FIND("]",D$8,1)),"]",""),";" ))</f>
        <v>GRANT EXECUTE, REFERENCES ON [DW].[spInferDimGeografia] TO [R_DemandaDW];</v>
      </c>
    </row>
    <row r="75" spans="1:4" ht="22.5" x14ac:dyDescent="0.2">
      <c r="A75" s="74" t="s">
        <v>129</v>
      </c>
      <c r="B75" s="74" t="s">
        <v>188</v>
      </c>
      <c r="C75" s="75" t="s">
        <v>170</v>
      </c>
      <c r="D75" s="76" t="str">
        <f>IF(OR($A75="", C75=""), "", CONCATENATE("GRANT ", IF(NOT(ISERROR(FIND("H",C75,1))), CONCATENATE("EXECUTE ON XML SCHEMA COLLECTION::",IF(ISERROR(FIND("[",$A75,1)),"[",""), $A75, IF(ISERROR(FIND("]",$A75,1)),"]",""), ".", IF(ISERROR(FIND("[",$B75,1)),"[",""), $B75, IF(ISERROR(FIND("]",$B75,1)),"]","")),IF(NOT(ISERROR(FIND("N",C75,1))), CONCATENATE("SEND ON SERVICE::",IF(ISERROR(FIND("[",$B75,1)),"[",""), $B75, IF(ISERROR(FIND("]",$B75,1)),"]","")),CONCATENATE(LEFT(CONCATENATE(IF(ISERROR(FIND("V",C75,1)),"","RECEIVE, "), IF(ISERROR(FIND("C",C75,1)),"","INSERT, "),IF(ISERROR(FIND("R",C75,1)),"","SELECT, "), IF(ISERROR(FIND("U",C75,1)),"","UPDATE, "),IF(ISERROR(FIND("D",C75,1)),"","DELETE, "), IF(ISERROR(FIND("X",C75,1)),"","EXECUTE, "), IF(ISERROR(FIND("F",C75,1)),"","REFERENCES")),IF(ISERROR(FIND("F",C75,1)), LEN(CONCATENATE(IF(ISERROR(FIND("V",C75,1)),"","RECEIVE, "), IF(ISERROR(FIND("C",C75,1)),"","INSERT, "),IF(ISERROR(FIND("R",C75,1)),"","SELECT, "), IF(ISERROR(FIND("U",C75,1)),"","UPDATE, "),IF(ISERROR(FIND("D",C75,1)),"","DELETE, "), IF(ISERROR(FIND("X",C75,1)),"","EXECUTE, ")))-2,LEN(CONCATENATE(IF(ISERROR(FIND("V",C75,1)),"","RECEIVE, "), IF(ISERROR(FIND("C",C75,1)),"","INSERT, "),IF(ISERROR(FIND("R",C75,1)),"","SELECT, "), IF(ISERROR(FIND("U",C75,1)),"","UPDATE, "),IF(ISERROR(FIND("D",C75,1)),"","DELETE, "), IF(ISERROR(FIND("X",C75,1)),"","EXECUTE, "),IF(ISERROR(FIND("F",C75,1)),"","REFERENCES"))))), " ON ",IF(ISERROR(FIND("[",$A75,1)),"[",""), $A75, IF(ISERROR(FIND("]",$A75,1)),"]",""), ".", IF(ISERROR(FIND("[",$B75,1)),"[",""), $B75, IF(ISERROR(FIND("]",$B75,1)),"]","")))), " TO ", IF(ISERROR(FIND("[",D$8,1)),"[",""), D$8, IF(ISERROR(FIND("]",D$8,1)),"]",""),";" ))</f>
        <v>GRANT EXECUTE, REFERENCES ON [DW].[spLoadDimAgente] TO [R_DemandaDW];</v>
      </c>
    </row>
    <row r="76" spans="1:4" ht="22.5" x14ac:dyDescent="0.2">
      <c r="A76" s="74" t="s">
        <v>129</v>
      </c>
      <c r="B76" s="74" t="s">
        <v>189</v>
      </c>
      <c r="C76" s="75" t="s">
        <v>170</v>
      </c>
      <c r="D76" s="76" t="str">
        <f>IF(OR($A76="", C76=""), "", CONCATENATE("GRANT ", IF(NOT(ISERROR(FIND("H",C76,1))), CONCATENATE("EXECUTE ON XML SCHEMA COLLECTION::",IF(ISERROR(FIND("[",$A76,1)),"[",""), $A76, IF(ISERROR(FIND("]",$A76,1)),"]",""), ".", IF(ISERROR(FIND("[",$B76,1)),"[",""), $B76, IF(ISERROR(FIND("]",$B76,1)),"]","")),IF(NOT(ISERROR(FIND("N",C76,1))), CONCATENATE("SEND ON SERVICE::",IF(ISERROR(FIND("[",$B76,1)),"[",""), $B76, IF(ISERROR(FIND("]",$B76,1)),"]","")),CONCATENATE(LEFT(CONCATENATE(IF(ISERROR(FIND("V",C76,1)),"","RECEIVE, "), IF(ISERROR(FIND("C",C76,1)),"","INSERT, "),IF(ISERROR(FIND("R",C76,1)),"","SELECT, "), IF(ISERROR(FIND("U",C76,1)),"","UPDATE, "),IF(ISERROR(FIND("D",C76,1)),"","DELETE, "), IF(ISERROR(FIND("X",C76,1)),"","EXECUTE, "), IF(ISERROR(FIND("F",C76,1)),"","REFERENCES")),IF(ISERROR(FIND("F",C76,1)), LEN(CONCATENATE(IF(ISERROR(FIND("V",C76,1)),"","RECEIVE, "), IF(ISERROR(FIND("C",C76,1)),"","INSERT, "),IF(ISERROR(FIND("R",C76,1)),"","SELECT, "), IF(ISERROR(FIND("U",C76,1)),"","UPDATE, "),IF(ISERROR(FIND("D",C76,1)),"","DELETE, "), IF(ISERROR(FIND("X",C76,1)),"","EXECUTE, ")))-2,LEN(CONCATENATE(IF(ISERROR(FIND("V",C76,1)),"","RECEIVE, "), IF(ISERROR(FIND("C",C76,1)),"","INSERT, "),IF(ISERROR(FIND("R",C76,1)),"","SELECT, "), IF(ISERROR(FIND("U",C76,1)),"","UPDATE, "),IF(ISERROR(FIND("D",C76,1)),"","DELETE, "), IF(ISERROR(FIND("X",C76,1)),"","EXECUTE, "),IF(ISERROR(FIND("F",C76,1)),"","REFERENCES"))))), " ON ",IF(ISERROR(FIND("[",$A76,1)),"[",""), $A76, IF(ISERROR(FIND("]",$A76,1)),"]",""), ".", IF(ISERROR(FIND("[",$B76,1)),"[",""), $B76, IF(ISERROR(FIND("]",$B76,1)),"]","")))), " TO ", IF(ISERROR(FIND("[",D$8,1)),"[",""), D$8, IF(ISERROR(FIND("]",D$8,1)),"]",""),";" ))</f>
        <v>GRANT EXECUTE, REFERENCES ON [DW].[spLoadDimCompania] TO [R_DemandaDW];</v>
      </c>
    </row>
    <row r="77" spans="1:4" ht="22.5" x14ac:dyDescent="0.2">
      <c r="A77" s="74" t="s">
        <v>129</v>
      </c>
      <c r="B77" s="74" t="s">
        <v>190</v>
      </c>
      <c r="C77" s="75" t="s">
        <v>170</v>
      </c>
      <c r="D77" s="76" t="str">
        <f>IF(OR($A77="", C77=""), "", CONCATENATE("GRANT ", IF(NOT(ISERROR(FIND("H",C77,1))), CONCATENATE("EXECUTE ON XML SCHEMA COLLECTION::",IF(ISERROR(FIND("[",$A77,1)),"[",""), $A77, IF(ISERROR(FIND("]",$A77,1)),"]",""), ".", IF(ISERROR(FIND("[",$B77,1)),"[",""), $B77, IF(ISERROR(FIND("]",$B77,1)),"]","")),IF(NOT(ISERROR(FIND("N",C77,1))), CONCATENATE("SEND ON SERVICE::",IF(ISERROR(FIND("[",$B77,1)),"[",""), $B77, IF(ISERROR(FIND("]",$B77,1)),"]","")),CONCATENATE(LEFT(CONCATENATE(IF(ISERROR(FIND("V",C77,1)),"","RECEIVE, "), IF(ISERROR(FIND("C",C77,1)),"","INSERT, "),IF(ISERROR(FIND("R",C77,1)),"","SELECT, "), IF(ISERROR(FIND("U",C77,1)),"","UPDATE, "),IF(ISERROR(FIND("D",C77,1)),"","DELETE, "), IF(ISERROR(FIND("X",C77,1)),"","EXECUTE, "), IF(ISERROR(FIND("F",C77,1)),"","REFERENCES")),IF(ISERROR(FIND("F",C77,1)), LEN(CONCATENATE(IF(ISERROR(FIND("V",C77,1)),"","RECEIVE, "), IF(ISERROR(FIND("C",C77,1)),"","INSERT, "),IF(ISERROR(FIND("R",C77,1)),"","SELECT, "), IF(ISERROR(FIND("U",C77,1)),"","UPDATE, "),IF(ISERROR(FIND("D",C77,1)),"","DELETE, "), IF(ISERROR(FIND("X",C77,1)),"","EXECUTE, ")))-2,LEN(CONCATENATE(IF(ISERROR(FIND("V",C77,1)),"","RECEIVE, "), IF(ISERROR(FIND("C",C77,1)),"","INSERT, "),IF(ISERROR(FIND("R",C77,1)),"","SELECT, "), IF(ISERROR(FIND("U",C77,1)),"","UPDATE, "),IF(ISERROR(FIND("D",C77,1)),"","DELETE, "), IF(ISERROR(FIND("X",C77,1)),"","EXECUTE, "),IF(ISERROR(FIND("F",C77,1)),"","REFERENCES"))))), " ON ",IF(ISERROR(FIND("[",$A77,1)),"[",""), $A77, IF(ISERROR(FIND("]",$A77,1)),"]",""), ".", IF(ISERROR(FIND("[",$B77,1)),"[",""), $B77, IF(ISERROR(FIND("]",$B77,1)),"]","")))), " TO ", IF(ISERROR(FIND("[",D$8,1)),"[",""), D$8, IF(ISERROR(FIND("]",D$8,1)),"]",""),";" ))</f>
        <v>GRANT EXECUTE, REFERENCES ON [DW].[spLoadDimDate] TO [R_DemandaDW];</v>
      </c>
    </row>
    <row r="78" spans="1:4" ht="22.5" x14ac:dyDescent="0.2">
      <c r="A78" s="74" t="s">
        <v>129</v>
      </c>
      <c r="B78" s="74" t="s">
        <v>191</v>
      </c>
      <c r="C78" s="75" t="s">
        <v>170</v>
      </c>
      <c r="D78" s="76" t="str">
        <f>IF(OR($A78="", C78=""), "", CONCATENATE("GRANT ", IF(NOT(ISERROR(FIND("H",C78,1))), CONCATENATE("EXECUTE ON XML SCHEMA COLLECTION::",IF(ISERROR(FIND("[",$A78,1)),"[",""), $A78, IF(ISERROR(FIND("]",$A78,1)),"]",""), ".", IF(ISERROR(FIND("[",$B78,1)),"[",""), $B78, IF(ISERROR(FIND("]",$B78,1)),"]","")),IF(NOT(ISERROR(FIND("N",C78,1))), CONCATENATE("SEND ON SERVICE::",IF(ISERROR(FIND("[",$B78,1)),"[",""), $B78, IF(ISERROR(FIND("]",$B78,1)),"]","")),CONCATENATE(LEFT(CONCATENATE(IF(ISERROR(FIND("V",C78,1)),"","RECEIVE, "), IF(ISERROR(FIND("C",C78,1)),"","INSERT, "),IF(ISERROR(FIND("R",C78,1)),"","SELECT, "), IF(ISERROR(FIND("U",C78,1)),"","UPDATE, "),IF(ISERROR(FIND("D",C78,1)),"","DELETE, "), IF(ISERROR(FIND("X",C78,1)),"","EXECUTE, "), IF(ISERROR(FIND("F",C78,1)),"","REFERENCES")),IF(ISERROR(FIND("F",C78,1)), LEN(CONCATENATE(IF(ISERROR(FIND("V",C78,1)),"","RECEIVE, "), IF(ISERROR(FIND("C",C78,1)),"","INSERT, "),IF(ISERROR(FIND("R",C78,1)),"","SELECT, "), IF(ISERROR(FIND("U",C78,1)),"","UPDATE, "),IF(ISERROR(FIND("D",C78,1)),"","DELETE, "), IF(ISERROR(FIND("X",C78,1)),"","EXECUTE, ")))-2,LEN(CONCATENATE(IF(ISERROR(FIND("V",C78,1)),"","RECEIVE, "), IF(ISERROR(FIND("C",C78,1)),"","INSERT, "),IF(ISERROR(FIND("R",C78,1)),"","SELECT, "), IF(ISERROR(FIND("U",C78,1)),"","UPDATE, "),IF(ISERROR(FIND("D",C78,1)),"","DELETE, "), IF(ISERROR(FIND("X",C78,1)),"","EXECUTE, "),IF(ISERROR(FIND("F",C78,1)),"","REFERENCES"))))), " ON ",IF(ISERROR(FIND("[",$A78,1)),"[",""), $A78, IF(ISERROR(FIND("]",$A78,1)),"]",""), ".", IF(ISERROR(FIND("[",$B78,1)),"[",""), $B78, IF(ISERROR(FIND("]",$B78,1)),"]","")))), " TO ", IF(ISERROR(FIND("[",D$8,1)),"[",""), D$8, IF(ISERROR(FIND("]",D$8,1)),"]",""),";" ))</f>
        <v>GRANT EXECUTE, REFERENCES ON [DW].[spLoadDimDateNext] TO [R_DemandaDW];</v>
      </c>
    </row>
    <row r="79" spans="1:4" ht="22.5" x14ac:dyDescent="0.2">
      <c r="A79" s="74" t="s">
        <v>129</v>
      </c>
      <c r="B79" s="74" t="s">
        <v>192</v>
      </c>
      <c r="C79" s="75" t="s">
        <v>170</v>
      </c>
      <c r="D79" s="76" t="str">
        <f>IF(OR($A79="", C79=""), "", CONCATENATE("GRANT ", IF(NOT(ISERROR(FIND("H",C79,1))), CONCATENATE("EXECUTE ON XML SCHEMA COLLECTION::",IF(ISERROR(FIND("[",$A79,1)),"[",""), $A79, IF(ISERROR(FIND("]",$A79,1)),"]",""), ".", IF(ISERROR(FIND("[",$B79,1)),"[",""), $B79, IF(ISERROR(FIND("]",$B79,1)),"]","")),IF(NOT(ISERROR(FIND("N",C79,1))), CONCATENATE("SEND ON SERVICE::",IF(ISERROR(FIND("[",$B79,1)),"[",""), $B79, IF(ISERROR(FIND("]",$B79,1)),"]","")),CONCATENATE(LEFT(CONCATENATE(IF(ISERROR(FIND("V",C79,1)),"","RECEIVE, "), IF(ISERROR(FIND("C",C79,1)),"","INSERT, "),IF(ISERROR(FIND("R",C79,1)),"","SELECT, "), IF(ISERROR(FIND("U",C79,1)),"","UPDATE, "),IF(ISERROR(FIND("D",C79,1)),"","DELETE, "), IF(ISERROR(FIND("X",C79,1)),"","EXECUTE, "), IF(ISERROR(FIND("F",C79,1)),"","REFERENCES")),IF(ISERROR(FIND("F",C79,1)), LEN(CONCATENATE(IF(ISERROR(FIND("V",C79,1)),"","RECEIVE, "), IF(ISERROR(FIND("C",C79,1)),"","INSERT, "),IF(ISERROR(FIND("R",C79,1)),"","SELECT, "), IF(ISERROR(FIND("U",C79,1)),"","UPDATE, "),IF(ISERROR(FIND("D",C79,1)),"","DELETE, "), IF(ISERROR(FIND("X",C79,1)),"","EXECUTE, ")))-2,LEN(CONCATENATE(IF(ISERROR(FIND("V",C79,1)),"","RECEIVE, "), IF(ISERROR(FIND("C",C79,1)),"","INSERT, "),IF(ISERROR(FIND("R",C79,1)),"","SELECT, "), IF(ISERROR(FIND("U",C79,1)),"","UPDATE, "),IF(ISERROR(FIND("D",C79,1)),"","DELETE, "), IF(ISERROR(FIND("X",C79,1)),"","EXECUTE, "),IF(ISERROR(FIND("F",C79,1)),"","REFERENCES"))))), " ON ",IF(ISERROR(FIND("[",$A79,1)),"[",""), $A79, IF(ISERROR(FIND("]",$A79,1)),"]",""), ".", IF(ISERROR(FIND("[",$B79,1)),"[",""), $B79, IF(ISERROR(FIND("]",$B79,1)),"]","")))), " TO ", IF(ISERROR(FIND("[",D$8,1)),"[",""), D$8, IF(ISERROR(FIND("]",D$8,1)),"]",""),";" ))</f>
        <v>GRANT EXECUTE, REFERENCES ON [DW].[spLoadDimGeografia] TO [R_DemandaDW];</v>
      </c>
    </row>
    <row r="80" spans="1:4" ht="22.5" x14ac:dyDescent="0.2">
      <c r="A80" s="74" t="s">
        <v>129</v>
      </c>
      <c r="B80" s="74" t="s">
        <v>193</v>
      </c>
      <c r="C80" s="75" t="s">
        <v>170</v>
      </c>
      <c r="D80" s="76" t="str">
        <f>IF(OR($A80="", C80=""), "", CONCATENATE("GRANT ", IF(NOT(ISERROR(FIND("H",C80,1))), CONCATENATE("EXECUTE ON XML SCHEMA COLLECTION::",IF(ISERROR(FIND("[",$A80,1)),"[",""), $A80, IF(ISERROR(FIND("]",$A80,1)),"]",""), ".", IF(ISERROR(FIND("[",$B80,1)),"[",""), $B80, IF(ISERROR(FIND("]",$B80,1)),"]","")),IF(NOT(ISERROR(FIND("N",C80,1))), CONCATENATE("SEND ON SERVICE::",IF(ISERROR(FIND("[",$B80,1)),"[",""), $B80, IF(ISERROR(FIND("]",$B80,1)),"]","")),CONCATENATE(LEFT(CONCATENATE(IF(ISERROR(FIND("V",C80,1)),"","RECEIVE, "), IF(ISERROR(FIND("C",C80,1)),"","INSERT, "),IF(ISERROR(FIND("R",C80,1)),"","SELECT, "), IF(ISERROR(FIND("U",C80,1)),"","UPDATE, "),IF(ISERROR(FIND("D",C80,1)),"","DELETE, "), IF(ISERROR(FIND("X",C80,1)),"","EXECUTE, "), IF(ISERROR(FIND("F",C80,1)),"","REFERENCES")),IF(ISERROR(FIND("F",C80,1)), LEN(CONCATENATE(IF(ISERROR(FIND("V",C80,1)),"","RECEIVE, "), IF(ISERROR(FIND("C",C80,1)),"","INSERT, "),IF(ISERROR(FIND("R",C80,1)),"","SELECT, "), IF(ISERROR(FIND("U",C80,1)),"","UPDATE, "),IF(ISERROR(FIND("D",C80,1)),"","DELETE, "), IF(ISERROR(FIND("X",C80,1)),"","EXECUTE, ")))-2,LEN(CONCATENATE(IF(ISERROR(FIND("V",C80,1)),"","RECEIVE, "), IF(ISERROR(FIND("C",C80,1)),"","INSERT, "),IF(ISERROR(FIND("R",C80,1)),"","SELECT, "), IF(ISERROR(FIND("U",C80,1)),"","UPDATE, "),IF(ISERROR(FIND("D",C80,1)),"","DELETE, "), IF(ISERROR(FIND("X",C80,1)),"","EXECUTE, "),IF(ISERROR(FIND("F",C80,1)),"","REFERENCES"))))), " ON ",IF(ISERROR(FIND("[",$A80,1)),"[",""), $A80, IF(ISERROR(FIND("]",$A80,1)),"]",""), ".", IF(ISERROR(FIND("[",$B80,1)),"[",""), $B80, IF(ISERROR(FIND("]",$B80,1)),"]","")))), " TO ", IF(ISERROR(FIND("[",D$8,1)),"[",""), D$8, IF(ISERROR(FIND("]",D$8,1)),"]",""),";" ))</f>
        <v>GRANT EXECUTE, REFERENCES ON [DW].[spLoadDimPeriod] TO [R_DemandaDW];</v>
      </c>
    </row>
    <row r="81" spans="1:4" ht="33.75" x14ac:dyDescent="0.2">
      <c r="A81" s="74" t="s">
        <v>129</v>
      </c>
      <c r="B81" s="74" t="s">
        <v>194</v>
      </c>
      <c r="C81" s="75" t="s">
        <v>170</v>
      </c>
      <c r="D81" s="76" t="str">
        <f>IF(OR($A81="", C81=""), "", CONCATENATE("GRANT ", IF(NOT(ISERROR(FIND("H",C81,1))), CONCATENATE("EXECUTE ON XML SCHEMA COLLECTION::",IF(ISERROR(FIND("[",$A81,1)),"[",""), $A81, IF(ISERROR(FIND("]",$A81,1)),"]",""), ".", IF(ISERROR(FIND("[",$B81,1)),"[",""), $B81, IF(ISERROR(FIND("]",$B81,1)),"]","")),IF(NOT(ISERROR(FIND("N",C81,1))), CONCATENATE("SEND ON SERVICE::",IF(ISERROR(FIND("[",$B81,1)),"[",""), $B81, IF(ISERROR(FIND("]",$B81,1)),"]","")),CONCATENATE(LEFT(CONCATENATE(IF(ISERROR(FIND("V",C81,1)),"","RECEIVE, "), IF(ISERROR(FIND("C",C81,1)),"","INSERT, "),IF(ISERROR(FIND("R",C81,1)),"","SELECT, "), IF(ISERROR(FIND("U",C81,1)),"","UPDATE, "),IF(ISERROR(FIND("D",C81,1)),"","DELETE, "), IF(ISERROR(FIND("X",C81,1)),"","EXECUTE, "), IF(ISERROR(FIND("F",C81,1)),"","REFERENCES")),IF(ISERROR(FIND("F",C81,1)), LEN(CONCATENATE(IF(ISERROR(FIND("V",C81,1)),"","RECEIVE, "), IF(ISERROR(FIND("C",C81,1)),"","INSERT, "),IF(ISERROR(FIND("R",C81,1)),"","SELECT, "), IF(ISERROR(FIND("U",C81,1)),"","UPDATE, "),IF(ISERROR(FIND("D",C81,1)),"","DELETE, "), IF(ISERROR(FIND("X",C81,1)),"","EXECUTE, ")))-2,LEN(CONCATENATE(IF(ISERROR(FIND("V",C81,1)),"","RECEIVE, "), IF(ISERROR(FIND("C",C81,1)),"","INSERT, "),IF(ISERROR(FIND("R",C81,1)),"","SELECT, "), IF(ISERROR(FIND("U",C81,1)),"","UPDATE, "),IF(ISERROR(FIND("D",C81,1)),"","DELETE, "), IF(ISERROR(FIND("X",C81,1)),"","EXECUTE, "),IF(ISERROR(FIND("F",C81,1)),"","REFERENCES"))))), " ON ",IF(ISERROR(FIND("[",$A81,1)),"[",""), $A81, IF(ISERROR(FIND("]",$A81,1)),"]",""), ".", IF(ISERROR(FIND("[",$B81,1)),"[",""), $B81, IF(ISERROR(FIND("]",$B81,1)),"]","")))), " TO ", IF(ISERROR(FIND("[",D$8,1)),"[",""), D$8, IF(ISERROR(FIND("]",D$8,1)),"]",""),";" ))</f>
        <v>GRANT EXECUTE, REFERENCES ON [DW].[spLoadFactDemandaPerdida] TO [R_DemandaDW];</v>
      </c>
    </row>
    <row r="82" spans="1:4" ht="22.5" x14ac:dyDescent="0.2">
      <c r="A82" s="74" t="s">
        <v>137</v>
      </c>
      <c r="B82" s="74" t="s">
        <v>195</v>
      </c>
      <c r="C82" s="75" t="s">
        <v>170</v>
      </c>
      <c r="D82" s="76" t="str">
        <f>IF(OR($A82="", C82=""), "", CONCATENATE("GRANT ", IF(NOT(ISERROR(FIND("H",C82,1))), CONCATENATE("EXECUTE ON XML SCHEMA COLLECTION::",IF(ISERROR(FIND("[",$A82,1)),"[",""), $A82, IF(ISERROR(FIND("]",$A82,1)),"]",""), ".", IF(ISERROR(FIND("[",$B82,1)),"[",""), $B82, IF(ISERROR(FIND("]",$B82,1)),"]","")),IF(NOT(ISERROR(FIND("N",C82,1))), CONCATENATE("SEND ON SERVICE::",IF(ISERROR(FIND("[",$B82,1)),"[",""), $B82, IF(ISERROR(FIND("]",$B82,1)),"]","")),CONCATENATE(LEFT(CONCATENATE(IF(ISERROR(FIND("V",C82,1)),"","RECEIVE, "), IF(ISERROR(FIND("C",C82,1)),"","INSERT, "),IF(ISERROR(FIND("R",C82,1)),"","SELECT, "), IF(ISERROR(FIND("U",C82,1)),"","UPDATE, "),IF(ISERROR(FIND("D",C82,1)),"","DELETE, "), IF(ISERROR(FIND("X",C82,1)),"","EXECUTE, "), IF(ISERROR(FIND("F",C82,1)),"","REFERENCES")),IF(ISERROR(FIND("F",C82,1)), LEN(CONCATENATE(IF(ISERROR(FIND("V",C82,1)),"","RECEIVE, "), IF(ISERROR(FIND("C",C82,1)),"","INSERT, "),IF(ISERROR(FIND("R",C82,1)),"","SELECT, "), IF(ISERROR(FIND("U",C82,1)),"","UPDATE, "),IF(ISERROR(FIND("D",C82,1)),"","DELETE, "), IF(ISERROR(FIND("X",C82,1)),"","EXECUTE, ")))-2,LEN(CONCATENATE(IF(ISERROR(FIND("V",C82,1)),"","RECEIVE, "), IF(ISERROR(FIND("C",C82,1)),"","INSERT, "),IF(ISERROR(FIND("R",C82,1)),"","SELECT, "), IF(ISERROR(FIND("U",C82,1)),"","UPDATE, "),IF(ISERROR(FIND("D",C82,1)),"","DELETE, "), IF(ISERROR(FIND("X",C82,1)),"","EXECUTE, "),IF(ISERROR(FIND("F",C82,1)),"","REFERENCES"))))), " ON ",IF(ISERROR(FIND("[",$A82,1)),"[",""), $A82, IF(ISERROR(FIND("]",$A82,1)),"]",""), ".", IF(ISERROR(FIND("[",$B82,1)),"[",""), $B82, IF(ISERROR(FIND("]",$B82,1)),"]","")))), " TO ", IF(ISERROR(FIND("[",D$8,1)),"[",""), D$8, IF(ISERROR(FIND("]",D$8,1)),"]",""),";" ))</f>
        <v>GRANT EXECUTE, REFERENCES ON [Staging].[spTruncateTable] TO [R_DemandaDW];</v>
      </c>
    </row>
    <row r="83" spans="1:4" ht="22.5" x14ac:dyDescent="0.2">
      <c r="A83" s="74" t="s">
        <v>144</v>
      </c>
      <c r="B83" s="74" t="s">
        <v>196</v>
      </c>
      <c r="C83" s="75" t="s">
        <v>170</v>
      </c>
      <c r="D83" s="76" t="str">
        <f>IF(OR($A83="", C83=""), "", CONCATENATE("GRANT ", IF(NOT(ISERROR(FIND("H",C83,1))), CONCATENATE("EXECUTE ON XML SCHEMA COLLECTION::",IF(ISERROR(FIND("[",$A83,1)),"[",""), $A83, IF(ISERROR(FIND("]",$A83,1)),"]",""), ".", IF(ISERROR(FIND("[",$B83,1)),"[",""), $B83, IF(ISERROR(FIND("]",$B83,1)),"]","")),IF(NOT(ISERROR(FIND("N",C83,1))), CONCATENATE("SEND ON SERVICE::",IF(ISERROR(FIND("[",$B83,1)),"[",""), $B83, IF(ISERROR(FIND("]",$B83,1)),"]","")),CONCATENATE(LEFT(CONCATENATE(IF(ISERROR(FIND("V",C83,1)),"","RECEIVE, "), IF(ISERROR(FIND("C",C83,1)),"","INSERT, "),IF(ISERROR(FIND("R",C83,1)),"","SELECT, "), IF(ISERROR(FIND("U",C83,1)),"","UPDATE, "),IF(ISERROR(FIND("D",C83,1)),"","DELETE, "), IF(ISERROR(FIND("X",C83,1)),"","EXECUTE, "), IF(ISERROR(FIND("F",C83,1)),"","REFERENCES")),IF(ISERROR(FIND("F",C83,1)), LEN(CONCATENATE(IF(ISERROR(FIND("V",C83,1)),"","RECEIVE, "), IF(ISERROR(FIND("C",C83,1)),"","INSERT, "),IF(ISERROR(FIND("R",C83,1)),"","SELECT, "), IF(ISERROR(FIND("U",C83,1)),"","UPDATE, "),IF(ISERROR(FIND("D",C83,1)),"","DELETE, "), IF(ISERROR(FIND("X",C83,1)),"","EXECUTE, ")))-2,LEN(CONCATENATE(IF(ISERROR(FIND("V",C83,1)),"","RECEIVE, "), IF(ISERROR(FIND("C",C83,1)),"","INSERT, "),IF(ISERROR(FIND("R",C83,1)),"","SELECT, "), IF(ISERROR(FIND("U",C83,1)),"","UPDATE, "),IF(ISERROR(FIND("D",C83,1)),"","DELETE, "), IF(ISERROR(FIND("X",C83,1)),"","EXECUTE, "),IF(ISERROR(FIND("F",C83,1)),"","REFERENCES"))))), " ON ",IF(ISERROR(FIND("[",$A83,1)),"[",""), $A83, IF(ISERROR(FIND("]",$A83,1)),"]",""), ".", IF(ISERROR(FIND("[",$B83,1)),"[",""), $B83, IF(ISERROR(FIND("]",$B83,1)),"]","")))), " TO ", IF(ISERROR(FIND("[",D$8,1)),"[",""), D$8, IF(ISERROR(FIND("]",D$8,1)),"]",""),";" ))</f>
        <v>GRANT EXECUTE, REFERENCES ON [Utility].[PrintLongText] TO [R_DemandaDW];</v>
      </c>
    </row>
    <row r="84" spans="1:4" ht="22.5" x14ac:dyDescent="0.2">
      <c r="A84" s="74" t="s">
        <v>144</v>
      </c>
      <c r="B84" s="74" t="s">
        <v>197</v>
      </c>
      <c r="C84" s="75" t="s">
        <v>170</v>
      </c>
      <c r="D84" s="76" t="str">
        <f>IF(OR($A84="", C84=""), "", CONCATENATE("GRANT ", IF(NOT(ISERROR(FIND("H",C84,1))), CONCATENATE("EXECUTE ON XML SCHEMA COLLECTION::",IF(ISERROR(FIND("[",$A84,1)),"[",""), $A84, IF(ISERROR(FIND("]",$A84,1)),"]",""), ".", IF(ISERROR(FIND("[",$B84,1)),"[",""), $B84, IF(ISERROR(FIND("]",$B84,1)),"]","")),IF(NOT(ISERROR(FIND("N",C84,1))), CONCATENATE("SEND ON SERVICE::",IF(ISERROR(FIND("[",$B84,1)),"[",""), $B84, IF(ISERROR(FIND("]",$B84,1)),"]","")),CONCATENATE(LEFT(CONCATENATE(IF(ISERROR(FIND("V",C84,1)),"","RECEIVE, "), IF(ISERROR(FIND("C",C84,1)),"","INSERT, "),IF(ISERROR(FIND("R",C84,1)),"","SELECT, "), IF(ISERROR(FIND("U",C84,1)),"","UPDATE, "),IF(ISERROR(FIND("D",C84,1)),"","DELETE, "), IF(ISERROR(FIND("X",C84,1)),"","EXECUTE, "), IF(ISERROR(FIND("F",C84,1)),"","REFERENCES")),IF(ISERROR(FIND("F",C84,1)), LEN(CONCATENATE(IF(ISERROR(FIND("V",C84,1)),"","RECEIVE, "), IF(ISERROR(FIND("C",C84,1)),"","INSERT, "),IF(ISERROR(FIND("R",C84,1)),"","SELECT, "), IF(ISERROR(FIND("U",C84,1)),"","UPDATE, "),IF(ISERROR(FIND("D",C84,1)),"","DELETE, "), IF(ISERROR(FIND("X",C84,1)),"","EXECUTE, ")))-2,LEN(CONCATENATE(IF(ISERROR(FIND("V",C84,1)),"","RECEIVE, "), IF(ISERROR(FIND("C",C84,1)),"","INSERT, "),IF(ISERROR(FIND("R",C84,1)),"","SELECT, "), IF(ISERROR(FIND("U",C84,1)),"","UPDATE, "),IF(ISERROR(FIND("D",C84,1)),"","DELETE, "), IF(ISERROR(FIND("X",C84,1)),"","EXECUTE, "),IF(ISERROR(FIND("F",C84,1)),"","REFERENCES"))))), " ON ",IF(ISERROR(FIND("[",$A84,1)),"[",""), $A84, IF(ISERROR(FIND("]",$A84,1)),"]",""), ".", IF(ISERROR(FIND("[",$B84,1)),"[",""), $B84, IF(ISERROR(FIND("]",$B84,1)),"]","")))), " TO ", IF(ISERROR(FIND("[",D$8,1)),"[",""), D$8, IF(ISERROR(FIND("]",D$8,1)),"]",""),";" ))</f>
        <v>GRANT EXECUTE, REFERENCES ON [Utility].[spGetQuerySQL] TO [R_DemandaDW];</v>
      </c>
    </row>
    <row r="85" spans="1:4" ht="33.75" x14ac:dyDescent="0.2">
      <c r="A85" s="74" t="s">
        <v>144</v>
      </c>
      <c r="B85" s="74" t="s">
        <v>198</v>
      </c>
      <c r="C85" s="75" t="s">
        <v>170</v>
      </c>
      <c r="D85" s="76" t="str">
        <f>IF(OR($A85="", C85=""), "", CONCATENATE("GRANT ", IF(NOT(ISERROR(FIND("H",C85,1))), CONCATENATE("EXECUTE ON XML SCHEMA COLLECTION::",IF(ISERROR(FIND("[",$A85,1)),"[",""), $A85, IF(ISERROR(FIND("]",$A85,1)),"]",""), ".", IF(ISERROR(FIND("[",$B85,1)),"[",""), $B85, IF(ISERROR(FIND("]",$B85,1)),"]","")),IF(NOT(ISERROR(FIND("N",C85,1))), CONCATENATE("SEND ON SERVICE::",IF(ISERROR(FIND("[",$B85,1)),"[",""), $B85, IF(ISERROR(FIND("]",$B85,1)),"]","")),CONCATENATE(LEFT(CONCATENATE(IF(ISERROR(FIND("V",C85,1)),"","RECEIVE, "), IF(ISERROR(FIND("C",C85,1)),"","INSERT, "),IF(ISERROR(FIND("R",C85,1)),"","SELECT, "), IF(ISERROR(FIND("U",C85,1)),"","UPDATE, "),IF(ISERROR(FIND("D",C85,1)),"","DELETE, "), IF(ISERROR(FIND("X",C85,1)),"","EXECUTE, "), IF(ISERROR(FIND("F",C85,1)),"","REFERENCES")),IF(ISERROR(FIND("F",C85,1)), LEN(CONCATENATE(IF(ISERROR(FIND("V",C85,1)),"","RECEIVE, "), IF(ISERROR(FIND("C",C85,1)),"","INSERT, "),IF(ISERROR(FIND("R",C85,1)),"","SELECT, "), IF(ISERROR(FIND("U",C85,1)),"","UPDATE, "),IF(ISERROR(FIND("D",C85,1)),"","DELETE, "), IF(ISERROR(FIND("X",C85,1)),"","EXECUTE, ")))-2,LEN(CONCATENATE(IF(ISERROR(FIND("V",C85,1)),"","RECEIVE, "), IF(ISERROR(FIND("C",C85,1)),"","INSERT, "),IF(ISERROR(FIND("R",C85,1)),"","SELECT, "), IF(ISERROR(FIND("U",C85,1)),"","UPDATE, "),IF(ISERROR(FIND("D",C85,1)),"","DELETE, "), IF(ISERROR(FIND("X",C85,1)),"","EXECUTE, "),IF(ISERROR(FIND("F",C85,1)),"","REFERENCES"))))), " ON ",IF(ISERROR(FIND("[",$A85,1)),"[",""), $A85, IF(ISERROR(FIND("]",$A85,1)),"]",""), ".", IF(ISERROR(FIND("[",$B85,1)),"[",""), $B85, IF(ISERROR(FIND("]",$B85,1)),"]","")))), " TO ", IF(ISERROR(FIND("[",D$8,1)),"[",""), D$8, IF(ISERROR(FIND("]",D$8,1)),"]",""),";" ))</f>
        <v>GRANT EXECUTE, REFERENCES ON [Utility].[spLoadModelVersion] TO [R_DemandaDW];</v>
      </c>
    </row>
    <row r="86" spans="1:4" ht="33.75" x14ac:dyDescent="0.2">
      <c r="A86" s="74" t="s">
        <v>144</v>
      </c>
      <c r="B86" s="74" t="s">
        <v>199</v>
      </c>
      <c r="C86" s="75" t="s">
        <v>170</v>
      </c>
      <c r="D86" s="76" t="str">
        <f>IF(OR($A86="", C86=""), "", CONCATENATE("GRANT ", IF(NOT(ISERROR(FIND("H",C86,1))), CONCATENATE("EXECUTE ON XML SCHEMA COLLECTION::",IF(ISERROR(FIND("[",$A86,1)),"[",""), $A86, IF(ISERROR(FIND("]",$A86,1)),"]",""), ".", IF(ISERROR(FIND("[",$B86,1)),"[",""), $B86, IF(ISERROR(FIND("]",$B86,1)),"]","")),IF(NOT(ISERROR(FIND("N",C86,1))), CONCATENATE("SEND ON SERVICE::",IF(ISERROR(FIND("[",$B86,1)),"[",""), $B86, IF(ISERROR(FIND("]",$B86,1)),"]","")),CONCATENATE(LEFT(CONCATENATE(IF(ISERROR(FIND("V",C86,1)),"","RECEIVE, "), IF(ISERROR(FIND("C",C86,1)),"","INSERT, "),IF(ISERROR(FIND("R",C86,1)),"","SELECT, "), IF(ISERROR(FIND("U",C86,1)),"","UPDATE, "),IF(ISERROR(FIND("D",C86,1)),"","DELETE, "), IF(ISERROR(FIND("X",C86,1)),"","EXECUTE, "), IF(ISERROR(FIND("F",C86,1)),"","REFERENCES")),IF(ISERROR(FIND("F",C86,1)), LEN(CONCATENATE(IF(ISERROR(FIND("V",C86,1)),"","RECEIVE, "), IF(ISERROR(FIND("C",C86,1)),"","INSERT, "),IF(ISERROR(FIND("R",C86,1)),"","SELECT, "), IF(ISERROR(FIND("U",C86,1)),"","UPDATE, "),IF(ISERROR(FIND("D",C86,1)),"","DELETE, "), IF(ISERROR(FIND("X",C86,1)),"","EXECUTE, ")))-2,LEN(CONCATENATE(IF(ISERROR(FIND("V",C86,1)),"","RECEIVE, "), IF(ISERROR(FIND("C",C86,1)),"","INSERT, "),IF(ISERROR(FIND("R",C86,1)),"","SELECT, "), IF(ISERROR(FIND("U",C86,1)),"","UPDATE, "),IF(ISERROR(FIND("D",C86,1)),"","DELETE, "), IF(ISERROR(FIND("X",C86,1)),"","EXECUTE, "),IF(ISERROR(FIND("F",C86,1)),"","REFERENCES"))))), " ON ",IF(ISERROR(FIND("[",$A86,1)),"[",""), $A86, IF(ISERROR(FIND("]",$A86,1)),"]",""), ".", IF(ISERROR(FIND("[",$B86,1)),"[",""), $B86, IF(ISERROR(FIND("]",$B86,1)),"]","")))), " TO ", IF(ISERROR(FIND("[",D$8,1)),"[",""), D$8, IF(ISERROR(FIND("]",D$8,1)),"]",""),";" ))</f>
        <v>GRANT EXECUTE, REFERENCES ON [Utility].[spModuleProgramming_End] TO [R_DemandaDW];</v>
      </c>
    </row>
    <row r="87" spans="1:4" ht="33.75" x14ac:dyDescent="0.2">
      <c r="A87" s="74" t="s">
        <v>144</v>
      </c>
      <c r="B87" s="74" t="s">
        <v>200</v>
      </c>
      <c r="C87" s="75" t="s">
        <v>170</v>
      </c>
      <c r="D87" s="76" t="str">
        <f>IF(OR($A87="", C87=""), "", CONCATENATE("GRANT ", IF(NOT(ISERROR(FIND("H",C87,1))), CONCATENATE("EXECUTE ON XML SCHEMA COLLECTION::",IF(ISERROR(FIND("[",$A87,1)),"[",""), $A87, IF(ISERROR(FIND("]",$A87,1)),"]",""), ".", IF(ISERROR(FIND("[",$B87,1)),"[",""), $B87, IF(ISERROR(FIND("]",$B87,1)),"]","")),IF(NOT(ISERROR(FIND("N",C87,1))), CONCATENATE("SEND ON SERVICE::",IF(ISERROR(FIND("[",$B87,1)),"[",""), $B87, IF(ISERROR(FIND("]",$B87,1)),"]","")),CONCATENATE(LEFT(CONCATENATE(IF(ISERROR(FIND("V",C87,1)),"","RECEIVE, "), IF(ISERROR(FIND("C",C87,1)),"","INSERT, "),IF(ISERROR(FIND("R",C87,1)),"","SELECT, "), IF(ISERROR(FIND("U",C87,1)),"","UPDATE, "),IF(ISERROR(FIND("D",C87,1)),"","DELETE, "), IF(ISERROR(FIND("X",C87,1)),"","EXECUTE, "), IF(ISERROR(FIND("F",C87,1)),"","REFERENCES")),IF(ISERROR(FIND("F",C87,1)), LEN(CONCATENATE(IF(ISERROR(FIND("V",C87,1)),"","RECEIVE, "), IF(ISERROR(FIND("C",C87,1)),"","INSERT, "),IF(ISERROR(FIND("R",C87,1)),"","SELECT, "), IF(ISERROR(FIND("U",C87,1)),"","UPDATE, "),IF(ISERROR(FIND("D",C87,1)),"","DELETE, "), IF(ISERROR(FIND("X",C87,1)),"","EXECUTE, ")))-2,LEN(CONCATENATE(IF(ISERROR(FIND("V",C87,1)),"","RECEIVE, "), IF(ISERROR(FIND("C",C87,1)),"","INSERT, "),IF(ISERROR(FIND("R",C87,1)),"","SELECT, "), IF(ISERROR(FIND("U",C87,1)),"","UPDATE, "),IF(ISERROR(FIND("D",C87,1)),"","DELETE, "), IF(ISERROR(FIND("X",C87,1)),"","EXECUTE, "),IF(ISERROR(FIND("F",C87,1)),"","REFERENCES"))))), " ON ",IF(ISERROR(FIND("[",$A87,1)),"[",""), $A87, IF(ISERROR(FIND("]",$A87,1)),"]",""), ".", IF(ISERROR(FIND("[",$B87,1)),"[",""), $B87, IF(ISERROR(FIND("]",$B87,1)),"]","")))), " TO ", IF(ISERROR(FIND("[",D$8,1)),"[",""), D$8, IF(ISERROR(FIND("]",D$8,1)),"]",""),";" ))</f>
        <v>GRANT EXECUTE, REFERENCES ON [Utility].[spModuleProgramming_Query] TO [R_DemandaDW];</v>
      </c>
    </row>
    <row r="88" spans="1:4" ht="33.75" x14ac:dyDescent="0.2">
      <c r="A88" s="74" t="s">
        <v>144</v>
      </c>
      <c r="B88" s="74" t="s">
        <v>201</v>
      </c>
      <c r="C88" s="75" t="s">
        <v>170</v>
      </c>
      <c r="D88" s="76" t="str">
        <f>IF(OR($A88="", C88=""), "", CONCATENATE("GRANT ", IF(NOT(ISERROR(FIND("H",C88,1))), CONCATENATE("EXECUTE ON XML SCHEMA COLLECTION::",IF(ISERROR(FIND("[",$A88,1)),"[",""), $A88, IF(ISERROR(FIND("]",$A88,1)),"]",""), ".", IF(ISERROR(FIND("[",$B88,1)),"[",""), $B88, IF(ISERROR(FIND("]",$B88,1)),"]","")),IF(NOT(ISERROR(FIND("N",C88,1))), CONCATENATE("SEND ON SERVICE::",IF(ISERROR(FIND("[",$B88,1)),"[",""), $B88, IF(ISERROR(FIND("]",$B88,1)),"]","")),CONCATENATE(LEFT(CONCATENATE(IF(ISERROR(FIND("V",C88,1)),"","RECEIVE, "), IF(ISERROR(FIND("C",C88,1)),"","INSERT, "),IF(ISERROR(FIND("R",C88,1)),"","SELECT, "), IF(ISERROR(FIND("U",C88,1)),"","UPDATE, "),IF(ISERROR(FIND("D",C88,1)),"","DELETE, "), IF(ISERROR(FIND("X",C88,1)),"","EXECUTE, "), IF(ISERROR(FIND("F",C88,1)),"","REFERENCES")),IF(ISERROR(FIND("F",C88,1)), LEN(CONCATENATE(IF(ISERROR(FIND("V",C88,1)),"","RECEIVE, "), IF(ISERROR(FIND("C",C88,1)),"","INSERT, "),IF(ISERROR(FIND("R",C88,1)),"","SELECT, "), IF(ISERROR(FIND("U",C88,1)),"","UPDATE, "),IF(ISERROR(FIND("D",C88,1)),"","DELETE, "), IF(ISERROR(FIND("X",C88,1)),"","EXECUTE, ")))-2,LEN(CONCATENATE(IF(ISERROR(FIND("V",C88,1)),"","RECEIVE, "), IF(ISERROR(FIND("C",C88,1)),"","INSERT, "),IF(ISERROR(FIND("R",C88,1)),"","SELECT, "), IF(ISERROR(FIND("U",C88,1)),"","UPDATE, "),IF(ISERROR(FIND("D",C88,1)),"","DELETE, "), IF(ISERROR(FIND("X",C88,1)),"","EXECUTE, "),IF(ISERROR(FIND("F",C88,1)),"","REFERENCES"))))), " ON ",IF(ISERROR(FIND("[",$A88,1)),"[",""), $A88, IF(ISERROR(FIND("]",$A88,1)),"]",""), ".", IF(ISERROR(FIND("[",$B88,1)),"[",""), $B88, IF(ISERROR(FIND("]",$B88,1)),"]","")))), " TO ", IF(ISERROR(FIND("[",D$8,1)),"[",""), D$8, IF(ISERROR(FIND("]",D$8,1)),"]",""),";" ))</f>
        <v>GRANT EXECUTE, REFERENCES ON [Utility].[spModuleProgramming_Reload] TO [R_DemandaDW];</v>
      </c>
    </row>
    <row r="89" spans="1:4" ht="33.75" x14ac:dyDescent="0.2">
      <c r="A89" s="74" t="s">
        <v>144</v>
      </c>
      <c r="B89" s="74" t="s">
        <v>202</v>
      </c>
      <c r="C89" s="75" t="s">
        <v>170</v>
      </c>
      <c r="D89" s="76" t="str">
        <f>IF(OR($A89="", C89=""), "", CONCATENATE("GRANT ", IF(NOT(ISERROR(FIND("H",C89,1))), CONCATENATE("EXECUTE ON XML SCHEMA COLLECTION::",IF(ISERROR(FIND("[",$A89,1)),"[",""), $A89, IF(ISERROR(FIND("]",$A89,1)),"]",""), ".", IF(ISERROR(FIND("[",$B89,1)),"[",""), $B89, IF(ISERROR(FIND("]",$B89,1)),"]","")),IF(NOT(ISERROR(FIND("N",C89,1))), CONCATENATE("SEND ON SERVICE::",IF(ISERROR(FIND("[",$B89,1)),"[",""), $B89, IF(ISERROR(FIND("]",$B89,1)),"]","")),CONCATENATE(LEFT(CONCATENATE(IF(ISERROR(FIND("V",C89,1)),"","RECEIVE, "), IF(ISERROR(FIND("C",C89,1)),"","INSERT, "),IF(ISERROR(FIND("R",C89,1)),"","SELECT, "), IF(ISERROR(FIND("U",C89,1)),"","UPDATE, "),IF(ISERROR(FIND("D",C89,1)),"","DELETE, "), IF(ISERROR(FIND("X",C89,1)),"","EXECUTE, "), IF(ISERROR(FIND("F",C89,1)),"","REFERENCES")),IF(ISERROR(FIND("F",C89,1)), LEN(CONCATENATE(IF(ISERROR(FIND("V",C89,1)),"","RECEIVE, "), IF(ISERROR(FIND("C",C89,1)),"","INSERT, "),IF(ISERROR(FIND("R",C89,1)),"","SELECT, "), IF(ISERROR(FIND("U",C89,1)),"","UPDATE, "),IF(ISERROR(FIND("D",C89,1)),"","DELETE, "), IF(ISERROR(FIND("X",C89,1)),"","EXECUTE, ")))-2,LEN(CONCATENATE(IF(ISERROR(FIND("V",C89,1)),"","RECEIVE, "), IF(ISERROR(FIND("C",C89,1)),"","INSERT, "),IF(ISERROR(FIND("R",C89,1)),"","SELECT, "), IF(ISERROR(FIND("U",C89,1)),"","UPDATE, "),IF(ISERROR(FIND("D",C89,1)),"","DELETE, "), IF(ISERROR(FIND("X",C89,1)),"","EXECUTE, "),IF(ISERROR(FIND("F",C89,1)),"","REFERENCES"))))), " ON ",IF(ISERROR(FIND("[",$A89,1)),"[",""), $A89, IF(ISERROR(FIND("]",$A89,1)),"]",""), ".", IF(ISERROR(FIND("[",$B89,1)),"[",""), $B89, IF(ISERROR(FIND("]",$B89,1)),"]","")))), " TO ", IF(ISERROR(FIND("[",D$8,1)),"[",""), D$8, IF(ISERROR(FIND("]",D$8,1)),"]",""),";" ))</f>
        <v>GRANT EXECUTE, REFERENCES ON [Utility].[spModuleProgramming_Reload_Query] TO [R_DemandaDW];</v>
      </c>
    </row>
    <row r="90" spans="1:4" ht="33.75" x14ac:dyDescent="0.2">
      <c r="A90" s="74" t="s">
        <v>144</v>
      </c>
      <c r="B90" s="74" t="s">
        <v>203</v>
      </c>
      <c r="C90" s="75" t="s">
        <v>170</v>
      </c>
      <c r="D90" s="76" t="str">
        <f>IF(OR($A90="", C90=""), "", CONCATENATE("GRANT ", IF(NOT(ISERROR(FIND("H",C90,1))), CONCATENATE("EXECUTE ON XML SCHEMA COLLECTION::",IF(ISERROR(FIND("[",$A90,1)),"[",""), $A90, IF(ISERROR(FIND("]",$A90,1)),"]",""), ".", IF(ISERROR(FIND("[",$B90,1)),"[",""), $B90, IF(ISERROR(FIND("]",$B90,1)),"]","")),IF(NOT(ISERROR(FIND("N",C90,1))), CONCATENATE("SEND ON SERVICE::",IF(ISERROR(FIND("[",$B90,1)),"[",""), $B90, IF(ISERROR(FIND("]",$B90,1)),"]","")),CONCATENATE(LEFT(CONCATENATE(IF(ISERROR(FIND("V",C90,1)),"","RECEIVE, "), IF(ISERROR(FIND("C",C90,1)),"","INSERT, "),IF(ISERROR(FIND("R",C90,1)),"","SELECT, "), IF(ISERROR(FIND("U",C90,1)),"","UPDATE, "),IF(ISERROR(FIND("D",C90,1)),"","DELETE, "), IF(ISERROR(FIND("X",C90,1)),"","EXECUTE, "), IF(ISERROR(FIND("F",C90,1)),"","REFERENCES")),IF(ISERROR(FIND("F",C90,1)), LEN(CONCATENATE(IF(ISERROR(FIND("V",C90,1)),"","RECEIVE, "), IF(ISERROR(FIND("C",C90,1)),"","INSERT, "),IF(ISERROR(FIND("R",C90,1)),"","SELECT, "), IF(ISERROR(FIND("U",C90,1)),"","UPDATE, "),IF(ISERROR(FIND("D",C90,1)),"","DELETE, "), IF(ISERROR(FIND("X",C90,1)),"","EXECUTE, ")))-2,LEN(CONCATENATE(IF(ISERROR(FIND("V",C90,1)),"","RECEIVE, "), IF(ISERROR(FIND("C",C90,1)),"","INSERT, "),IF(ISERROR(FIND("R",C90,1)),"","SELECT, "), IF(ISERROR(FIND("U",C90,1)),"","UPDATE, "),IF(ISERROR(FIND("D",C90,1)),"","DELETE, "), IF(ISERROR(FIND("X",C90,1)),"","EXECUTE, "),IF(ISERROR(FIND("F",C90,1)),"","REFERENCES"))))), " ON ",IF(ISERROR(FIND("[",$A90,1)),"[",""), $A90, IF(ISERROR(FIND("]",$A90,1)),"]",""), ".", IF(ISERROR(FIND("[",$B90,1)),"[",""), $B90, IF(ISERROR(FIND("]",$B90,1)),"]","")))), " TO ", IF(ISERROR(FIND("[",D$8,1)),"[",""), D$8, IF(ISERROR(FIND("]",D$8,1)),"]",""),";" ))</f>
        <v>GRANT EXECUTE, REFERENCES ON [Utility].[spModuleProgramming_Sheduling] TO [R_DemandaDW];</v>
      </c>
    </row>
    <row r="91" spans="1:4" ht="33.75" x14ac:dyDescent="0.2">
      <c r="A91" s="74" t="s">
        <v>144</v>
      </c>
      <c r="B91" s="74" t="s">
        <v>204</v>
      </c>
      <c r="C91" s="75" t="s">
        <v>170</v>
      </c>
      <c r="D91" s="76" t="str">
        <f>IF(OR($A91="", C91=""), "", CONCATENATE("GRANT ", IF(NOT(ISERROR(FIND("H",C91,1))), CONCATENATE("EXECUTE ON XML SCHEMA COLLECTION::",IF(ISERROR(FIND("[",$A91,1)),"[",""), $A91, IF(ISERROR(FIND("]",$A91,1)),"]",""), ".", IF(ISERROR(FIND("[",$B91,1)),"[",""), $B91, IF(ISERROR(FIND("]",$B91,1)),"]","")),IF(NOT(ISERROR(FIND("N",C91,1))), CONCATENATE("SEND ON SERVICE::",IF(ISERROR(FIND("[",$B91,1)),"[",""), $B91, IF(ISERROR(FIND("]",$B91,1)),"]","")),CONCATENATE(LEFT(CONCATENATE(IF(ISERROR(FIND("V",C91,1)),"","RECEIVE, "), IF(ISERROR(FIND("C",C91,1)),"","INSERT, "),IF(ISERROR(FIND("R",C91,1)),"","SELECT, "), IF(ISERROR(FIND("U",C91,1)),"","UPDATE, "),IF(ISERROR(FIND("D",C91,1)),"","DELETE, "), IF(ISERROR(FIND("X",C91,1)),"","EXECUTE, "), IF(ISERROR(FIND("F",C91,1)),"","REFERENCES")),IF(ISERROR(FIND("F",C91,1)), LEN(CONCATENATE(IF(ISERROR(FIND("V",C91,1)),"","RECEIVE, "), IF(ISERROR(FIND("C",C91,1)),"","INSERT, "),IF(ISERROR(FIND("R",C91,1)),"","SELECT, "), IF(ISERROR(FIND("U",C91,1)),"","UPDATE, "),IF(ISERROR(FIND("D",C91,1)),"","DELETE, "), IF(ISERROR(FIND("X",C91,1)),"","EXECUTE, ")))-2,LEN(CONCATENATE(IF(ISERROR(FIND("V",C91,1)),"","RECEIVE, "), IF(ISERROR(FIND("C",C91,1)),"","INSERT, "),IF(ISERROR(FIND("R",C91,1)),"","SELECT, "), IF(ISERROR(FIND("U",C91,1)),"","UPDATE, "),IF(ISERROR(FIND("D",C91,1)),"","DELETE, "), IF(ISERROR(FIND("X",C91,1)),"","EXECUTE, "),IF(ISERROR(FIND("F",C91,1)),"","REFERENCES"))))), " ON ",IF(ISERROR(FIND("[",$A91,1)),"[",""), $A91, IF(ISERROR(FIND("]",$A91,1)),"]",""), ".", IF(ISERROR(FIND("[",$B91,1)),"[",""), $B91, IF(ISERROR(FIND("]",$B91,1)),"]","")))), " TO ", IF(ISERROR(FIND("[",D$8,1)),"[",""), D$8, IF(ISERROR(FIND("]",D$8,1)),"]",""),";" ))</f>
        <v>GRANT EXECUTE, REFERENCES ON [Utility].[spModuleProgramming_UpdateState] TO [R_DemandaDW];</v>
      </c>
    </row>
    <row r="92" spans="1:4" ht="33.75" x14ac:dyDescent="0.2">
      <c r="A92" s="74" t="s">
        <v>144</v>
      </c>
      <c r="B92" s="74" t="s">
        <v>205</v>
      </c>
      <c r="C92" s="75" t="s">
        <v>170</v>
      </c>
      <c r="D92" s="76" t="str">
        <f>IF(OR($A92="", C92=""), "", CONCATENATE("GRANT ", IF(NOT(ISERROR(FIND("H",C92,1))), CONCATENATE("EXECUTE ON XML SCHEMA COLLECTION::",IF(ISERROR(FIND("[",$A92,1)),"[",""), $A92, IF(ISERROR(FIND("]",$A92,1)),"]",""), ".", IF(ISERROR(FIND("[",$B92,1)),"[",""), $B92, IF(ISERROR(FIND("]",$B92,1)),"]","")),IF(NOT(ISERROR(FIND("N",C92,1))), CONCATENATE("SEND ON SERVICE::",IF(ISERROR(FIND("[",$B92,1)),"[",""), $B92, IF(ISERROR(FIND("]",$B92,1)),"]","")),CONCATENATE(LEFT(CONCATENATE(IF(ISERROR(FIND("V",C92,1)),"","RECEIVE, "), IF(ISERROR(FIND("C",C92,1)),"","INSERT, "),IF(ISERROR(FIND("R",C92,1)),"","SELECT, "), IF(ISERROR(FIND("U",C92,1)),"","UPDATE, "),IF(ISERROR(FIND("D",C92,1)),"","DELETE, "), IF(ISERROR(FIND("X",C92,1)),"","EXECUTE, "), IF(ISERROR(FIND("F",C92,1)),"","REFERENCES")),IF(ISERROR(FIND("F",C92,1)), LEN(CONCATENATE(IF(ISERROR(FIND("V",C92,1)),"","RECEIVE, "), IF(ISERROR(FIND("C",C92,1)),"","INSERT, "),IF(ISERROR(FIND("R",C92,1)),"","SELECT, "), IF(ISERROR(FIND("U",C92,1)),"","UPDATE, "),IF(ISERROR(FIND("D",C92,1)),"","DELETE, "), IF(ISERROR(FIND("X",C92,1)),"","EXECUTE, ")))-2,LEN(CONCATENATE(IF(ISERROR(FIND("V",C92,1)),"","RECEIVE, "), IF(ISERROR(FIND("C",C92,1)),"","INSERT, "),IF(ISERROR(FIND("R",C92,1)),"","SELECT, "), IF(ISERROR(FIND("U",C92,1)),"","UPDATE, "),IF(ISERROR(FIND("D",C92,1)),"","DELETE, "), IF(ISERROR(FIND("X",C92,1)),"","EXECUTE, "),IF(ISERROR(FIND("F",C92,1)),"","REFERENCES"))))), " ON ",IF(ISERROR(FIND("[",$A92,1)),"[",""), $A92, IF(ISERROR(FIND("]",$A92,1)),"]",""), ".", IF(ISERROR(FIND("[",$B92,1)),"[",""), $B92, IF(ISERROR(FIND("]",$B92,1)),"]","")))), " TO ", IF(ISERROR(FIND("[",D$8,1)),"[",""), D$8, IF(ISERROR(FIND("]",D$8,1)),"]",""),";" ))</f>
        <v>GRANT EXECUTE, REFERENCES ON [Utility].[spModuleProgramming_UpdateState_WithoutDate] TO [R_DemandaDW];</v>
      </c>
    </row>
    <row r="93" spans="1:4" ht="33.75" x14ac:dyDescent="0.2">
      <c r="A93" s="74" t="s">
        <v>144</v>
      </c>
      <c r="B93" s="74" t="s">
        <v>206</v>
      </c>
      <c r="C93" s="75" t="s">
        <v>170</v>
      </c>
      <c r="D93" s="76" t="str">
        <f>IF(OR($A93="", C93=""), "", CONCATENATE("GRANT ", IF(NOT(ISERROR(FIND("H",C93,1))), CONCATENATE("EXECUTE ON XML SCHEMA COLLECTION::",IF(ISERROR(FIND("[",$A93,1)),"[",""), $A93, IF(ISERROR(FIND("]",$A93,1)),"]",""), ".", IF(ISERROR(FIND("[",$B93,1)),"[",""), $B93, IF(ISERROR(FIND("]",$B93,1)),"]","")),IF(NOT(ISERROR(FIND("N",C93,1))), CONCATENATE("SEND ON SERVICE::",IF(ISERROR(FIND("[",$B93,1)),"[",""), $B93, IF(ISERROR(FIND("]",$B93,1)),"]","")),CONCATENATE(LEFT(CONCATENATE(IF(ISERROR(FIND("V",C93,1)),"","RECEIVE, "), IF(ISERROR(FIND("C",C93,1)),"","INSERT, "),IF(ISERROR(FIND("R",C93,1)),"","SELECT, "), IF(ISERROR(FIND("U",C93,1)),"","UPDATE, "),IF(ISERROR(FIND("D",C93,1)),"","DELETE, "), IF(ISERROR(FIND("X",C93,1)),"","EXECUTE, "), IF(ISERROR(FIND("F",C93,1)),"","REFERENCES")),IF(ISERROR(FIND("F",C93,1)), LEN(CONCATENATE(IF(ISERROR(FIND("V",C93,1)),"","RECEIVE, "), IF(ISERROR(FIND("C",C93,1)),"","INSERT, "),IF(ISERROR(FIND("R",C93,1)),"","SELECT, "), IF(ISERROR(FIND("U",C93,1)),"","UPDATE, "),IF(ISERROR(FIND("D",C93,1)),"","DELETE, "), IF(ISERROR(FIND("X",C93,1)),"","EXECUTE, ")))-2,LEN(CONCATENATE(IF(ISERROR(FIND("V",C93,1)),"","RECEIVE, "), IF(ISERROR(FIND("C",C93,1)),"","INSERT, "),IF(ISERROR(FIND("R",C93,1)),"","SELECT, "), IF(ISERROR(FIND("U",C93,1)),"","UPDATE, "),IF(ISERROR(FIND("D",C93,1)),"","DELETE, "), IF(ISERROR(FIND("X",C93,1)),"","EXECUTE, "),IF(ISERROR(FIND("F",C93,1)),"","REFERENCES"))))), " ON ",IF(ISERROR(FIND("[",$A93,1)),"[",""), $A93, IF(ISERROR(FIND("]",$A93,1)),"]",""), ".", IF(ISERROR(FIND("[",$B93,1)),"[",""), $B93, IF(ISERROR(FIND("]",$B93,1)),"]","")))), " TO ", IF(ISERROR(FIND("[",D$8,1)),"[",""), D$8, IF(ISERROR(FIND("]",D$8,1)),"]",""),";" ))</f>
        <v>GRANT EXECUTE, REFERENCES ON [Utility].[spOLAP_GetCatalogs] TO [R_DemandaDW];</v>
      </c>
    </row>
    <row r="94" spans="1:4" ht="22.5" x14ac:dyDescent="0.2">
      <c r="A94" s="74" t="s">
        <v>144</v>
      </c>
      <c r="B94" s="74" t="s">
        <v>207</v>
      </c>
      <c r="C94" s="75" t="s">
        <v>170</v>
      </c>
      <c r="D94" s="76" t="str">
        <f>IF(OR($A94="", C94=""), "", CONCATENATE("GRANT ", IF(NOT(ISERROR(FIND("H",C94,1))), CONCATENATE("EXECUTE ON XML SCHEMA COLLECTION::",IF(ISERROR(FIND("[",$A94,1)),"[",""), $A94, IF(ISERROR(FIND("]",$A94,1)),"]",""), ".", IF(ISERROR(FIND("[",$B94,1)),"[",""), $B94, IF(ISERROR(FIND("]",$B94,1)),"]","")),IF(NOT(ISERROR(FIND("N",C94,1))), CONCATENATE("SEND ON SERVICE::",IF(ISERROR(FIND("[",$B94,1)),"[",""), $B94, IF(ISERROR(FIND("]",$B94,1)),"]","")),CONCATENATE(LEFT(CONCATENATE(IF(ISERROR(FIND("V",C94,1)),"","RECEIVE, "), IF(ISERROR(FIND("C",C94,1)),"","INSERT, "),IF(ISERROR(FIND("R",C94,1)),"","SELECT, "), IF(ISERROR(FIND("U",C94,1)),"","UPDATE, "),IF(ISERROR(FIND("D",C94,1)),"","DELETE, "), IF(ISERROR(FIND("X",C94,1)),"","EXECUTE, "), IF(ISERROR(FIND("F",C94,1)),"","REFERENCES")),IF(ISERROR(FIND("F",C94,1)), LEN(CONCATENATE(IF(ISERROR(FIND("V",C94,1)),"","RECEIVE, "), IF(ISERROR(FIND("C",C94,1)),"","INSERT, "),IF(ISERROR(FIND("R",C94,1)),"","SELECT, "), IF(ISERROR(FIND("U",C94,1)),"","UPDATE, "),IF(ISERROR(FIND("D",C94,1)),"","DELETE, "), IF(ISERROR(FIND("X",C94,1)),"","EXECUTE, ")))-2,LEN(CONCATENATE(IF(ISERROR(FIND("V",C94,1)),"","RECEIVE, "), IF(ISERROR(FIND("C",C94,1)),"","INSERT, "),IF(ISERROR(FIND("R",C94,1)),"","SELECT, "), IF(ISERROR(FIND("U",C94,1)),"","UPDATE, "),IF(ISERROR(FIND("D",C94,1)),"","DELETE, "), IF(ISERROR(FIND("X",C94,1)),"","EXECUTE, "),IF(ISERROR(FIND("F",C94,1)),"","REFERENCES"))))), " ON ",IF(ISERROR(FIND("[",$A94,1)),"[",""), $A94, IF(ISERROR(FIND("]",$A94,1)),"]",""), ".", IF(ISERROR(FIND("[",$B94,1)),"[",""), $B94, IF(ISERROR(FIND("]",$B94,1)),"]","")))), " TO ", IF(ISERROR(FIND("[",D$8,1)),"[",""), D$8, IF(ISERROR(FIND("]",D$8,1)),"]",""),";" ))</f>
        <v>GRANT EXECUTE, REFERENCES ON [Utility].[spOLAP_GetCubes] TO [R_DemandaDW];</v>
      </c>
    </row>
    <row r="95" spans="1:4" ht="33.75" x14ac:dyDescent="0.2">
      <c r="A95" s="74" t="s">
        <v>144</v>
      </c>
      <c r="B95" s="74" t="s">
        <v>208</v>
      </c>
      <c r="C95" s="75" t="s">
        <v>170</v>
      </c>
      <c r="D95" s="76" t="str">
        <f>IF(OR($A95="", C95=""), "", CONCATENATE("GRANT ", IF(NOT(ISERROR(FIND("H",C95,1))), CONCATENATE("EXECUTE ON XML SCHEMA COLLECTION::",IF(ISERROR(FIND("[",$A95,1)),"[",""), $A95, IF(ISERROR(FIND("]",$A95,1)),"]",""), ".", IF(ISERROR(FIND("[",$B95,1)),"[",""), $B95, IF(ISERROR(FIND("]",$B95,1)),"]","")),IF(NOT(ISERROR(FIND("N",C95,1))), CONCATENATE("SEND ON SERVICE::",IF(ISERROR(FIND("[",$B95,1)),"[",""), $B95, IF(ISERROR(FIND("]",$B95,1)),"]","")),CONCATENATE(LEFT(CONCATENATE(IF(ISERROR(FIND("V",C95,1)),"","RECEIVE, "), IF(ISERROR(FIND("C",C95,1)),"","INSERT, "),IF(ISERROR(FIND("R",C95,1)),"","SELECT, "), IF(ISERROR(FIND("U",C95,1)),"","UPDATE, "),IF(ISERROR(FIND("D",C95,1)),"","DELETE, "), IF(ISERROR(FIND("X",C95,1)),"","EXECUTE, "), IF(ISERROR(FIND("F",C95,1)),"","REFERENCES")),IF(ISERROR(FIND("F",C95,1)), LEN(CONCATENATE(IF(ISERROR(FIND("V",C95,1)),"","RECEIVE, "), IF(ISERROR(FIND("C",C95,1)),"","INSERT, "),IF(ISERROR(FIND("R",C95,1)),"","SELECT, "), IF(ISERROR(FIND("U",C95,1)),"","UPDATE, "),IF(ISERROR(FIND("D",C95,1)),"","DELETE, "), IF(ISERROR(FIND("X",C95,1)),"","EXECUTE, ")))-2,LEN(CONCATENATE(IF(ISERROR(FIND("V",C95,1)),"","RECEIVE, "), IF(ISERROR(FIND("C",C95,1)),"","INSERT, "),IF(ISERROR(FIND("R",C95,1)),"","SELECT, "), IF(ISERROR(FIND("U",C95,1)),"","UPDATE, "),IF(ISERROR(FIND("D",C95,1)),"","DELETE, "), IF(ISERROR(FIND("X",C95,1)),"","EXECUTE, "),IF(ISERROR(FIND("F",C95,1)),"","REFERENCES"))))), " ON ",IF(ISERROR(FIND("[",$A95,1)),"[",""), $A95, IF(ISERROR(FIND("]",$A95,1)),"]",""), ".", IF(ISERROR(FIND("[",$B95,1)),"[",""), $B95, IF(ISERROR(FIND("]",$B95,1)),"]","")))), " TO ", IF(ISERROR(FIND("[",D$8,1)),"[",""), D$8, IF(ISERROR(FIND("]",D$8,1)),"]",""),";" ))</f>
        <v>GRANT EXECUTE, REFERENCES ON [Utility].[spOLAP_GetDimensions] TO [R_DemandaDW];</v>
      </c>
    </row>
    <row r="96" spans="1:4" ht="33.75" x14ac:dyDescent="0.2">
      <c r="A96" s="74" t="s">
        <v>144</v>
      </c>
      <c r="B96" s="74" t="s">
        <v>209</v>
      </c>
      <c r="C96" s="75" t="s">
        <v>170</v>
      </c>
      <c r="D96" s="76" t="str">
        <f>IF(OR($A96="", C96=""), "", CONCATENATE("GRANT ", IF(NOT(ISERROR(FIND("H",C96,1))), CONCATENATE("EXECUTE ON XML SCHEMA COLLECTION::",IF(ISERROR(FIND("[",$A96,1)),"[",""), $A96, IF(ISERROR(FIND("]",$A96,1)),"]",""), ".", IF(ISERROR(FIND("[",$B96,1)),"[",""), $B96, IF(ISERROR(FIND("]",$B96,1)),"]","")),IF(NOT(ISERROR(FIND("N",C96,1))), CONCATENATE("SEND ON SERVICE::",IF(ISERROR(FIND("[",$B96,1)),"[",""), $B96, IF(ISERROR(FIND("]",$B96,1)),"]","")),CONCATENATE(LEFT(CONCATENATE(IF(ISERROR(FIND("V",C96,1)),"","RECEIVE, "), IF(ISERROR(FIND("C",C96,1)),"","INSERT, "),IF(ISERROR(FIND("R",C96,1)),"","SELECT, "), IF(ISERROR(FIND("U",C96,1)),"","UPDATE, "),IF(ISERROR(FIND("D",C96,1)),"","DELETE, "), IF(ISERROR(FIND("X",C96,1)),"","EXECUTE, "), IF(ISERROR(FIND("F",C96,1)),"","REFERENCES")),IF(ISERROR(FIND("F",C96,1)), LEN(CONCATENATE(IF(ISERROR(FIND("V",C96,1)),"","RECEIVE, "), IF(ISERROR(FIND("C",C96,1)),"","INSERT, "),IF(ISERROR(FIND("R",C96,1)),"","SELECT, "), IF(ISERROR(FIND("U",C96,1)),"","UPDATE, "),IF(ISERROR(FIND("D",C96,1)),"","DELETE, "), IF(ISERROR(FIND("X",C96,1)),"","EXECUTE, ")))-2,LEN(CONCATENATE(IF(ISERROR(FIND("V",C96,1)),"","RECEIVE, "), IF(ISERROR(FIND("C",C96,1)),"","INSERT, "),IF(ISERROR(FIND("R",C96,1)),"","SELECT, "), IF(ISERROR(FIND("U",C96,1)),"","UPDATE, "),IF(ISERROR(FIND("D",C96,1)),"","DELETE, "), IF(ISERROR(FIND("X",C96,1)),"","EXECUTE, "),IF(ISERROR(FIND("F",C96,1)),"","REFERENCES"))))), " ON ",IF(ISERROR(FIND("[",$A96,1)),"[",""), $A96, IF(ISERROR(FIND("]",$A96,1)),"]",""), ".", IF(ISERROR(FIND("[",$B96,1)),"[",""), $B96, IF(ISERROR(FIND("]",$B96,1)),"]","")))), " TO ", IF(ISERROR(FIND("[",D$8,1)),"[",""), D$8, IF(ISERROR(FIND("]",D$8,1)),"]",""),";" ))</f>
        <v>GRANT EXECUTE, REFERENCES ON [Utility].[spOLAP_GetDimensionsAttributes] TO [R_DemandaDW];</v>
      </c>
    </row>
    <row r="97" spans="1:4" ht="33.75" x14ac:dyDescent="0.2">
      <c r="A97" s="74" t="s">
        <v>144</v>
      </c>
      <c r="B97" s="74" t="s">
        <v>210</v>
      </c>
      <c r="C97" s="75" t="s">
        <v>170</v>
      </c>
      <c r="D97" s="76" t="str">
        <f>IF(OR($A97="", C97=""), "", CONCATENATE("GRANT ", IF(NOT(ISERROR(FIND("H",C97,1))), CONCATENATE("EXECUTE ON XML SCHEMA COLLECTION::",IF(ISERROR(FIND("[",$A97,1)),"[",""), $A97, IF(ISERROR(FIND("]",$A97,1)),"]",""), ".", IF(ISERROR(FIND("[",$B97,1)),"[",""), $B97, IF(ISERROR(FIND("]",$B97,1)),"]","")),IF(NOT(ISERROR(FIND("N",C97,1))), CONCATENATE("SEND ON SERVICE::",IF(ISERROR(FIND("[",$B97,1)),"[",""), $B97, IF(ISERROR(FIND("]",$B97,1)),"]","")),CONCATENATE(LEFT(CONCATENATE(IF(ISERROR(FIND("V",C97,1)),"","RECEIVE, "), IF(ISERROR(FIND("C",C97,1)),"","INSERT, "),IF(ISERROR(FIND("R",C97,1)),"","SELECT, "), IF(ISERROR(FIND("U",C97,1)),"","UPDATE, "),IF(ISERROR(FIND("D",C97,1)),"","DELETE, "), IF(ISERROR(FIND("X",C97,1)),"","EXECUTE, "), IF(ISERROR(FIND("F",C97,1)),"","REFERENCES")),IF(ISERROR(FIND("F",C97,1)), LEN(CONCATENATE(IF(ISERROR(FIND("V",C97,1)),"","RECEIVE, "), IF(ISERROR(FIND("C",C97,1)),"","INSERT, "),IF(ISERROR(FIND("R",C97,1)),"","SELECT, "), IF(ISERROR(FIND("U",C97,1)),"","UPDATE, "),IF(ISERROR(FIND("D",C97,1)),"","DELETE, "), IF(ISERROR(FIND("X",C97,1)),"","EXECUTE, ")))-2,LEN(CONCATENATE(IF(ISERROR(FIND("V",C97,1)),"","RECEIVE, "), IF(ISERROR(FIND("C",C97,1)),"","INSERT, "),IF(ISERROR(FIND("R",C97,1)),"","SELECT, "), IF(ISERROR(FIND("U",C97,1)),"","UPDATE, "),IF(ISERROR(FIND("D",C97,1)),"","DELETE, "), IF(ISERROR(FIND("X",C97,1)),"","EXECUTE, "),IF(ISERROR(FIND("F",C97,1)),"","REFERENCES"))))), " ON ",IF(ISERROR(FIND("[",$A97,1)),"[",""), $A97, IF(ISERROR(FIND("]",$A97,1)),"]",""), ".", IF(ISERROR(FIND("[",$B97,1)),"[",""), $B97, IF(ISERROR(FIND("]",$B97,1)),"]","")))), " TO ", IF(ISERROR(FIND("[",D$8,1)),"[",""), D$8, IF(ISERROR(FIND("]",D$8,1)),"]",""),";" ))</f>
        <v>GRANT EXECUTE, REFERENCES ON [Utility].[spOLAP_GetHierarchies] TO [R_DemandaDW];</v>
      </c>
    </row>
    <row r="98" spans="1:4" ht="33.75" x14ac:dyDescent="0.2">
      <c r="A98" s="74" t="s">
        <v>144</v>
      </c>
      <c r="B98" s="74" t="s">
        <v>211</v>
      </c>
      <c r="C98" s="75" t="s">
        <v>170</v>
      </c>
      <c r="D98" s="76" t="str">
        <f>IF(OR($A98="", C98=""), "", CONCATENATE("GRANT ", IF(NOT(ISERROR(FIND("H",C98,1))), CONCATENATE("EXECUTE ON XML SCHEMA COLLECTION::",IF(ISERROR(FIND("[",$A98,1)),"[",""), $A98, IF(ISERROR(FIND("]",$A98,1)),"]",""), ".", IF(ISERROR(FIND("[",$B98,1)),"[",""), $B98, IF(ISERROR(FIND("]",$B98,1)),"]","")),IF(NOT(ISERROR(FIND("N",C98,1))), CONCATENATE("SEND ON SERVICE::",IF(ISERROR(FIND("[",$B98,1)),"[",""), $B98, IF(ISERROR(FIND("]",$B98,1)),"]","")),CONCATENATE(LEFT(CONCATENATE(IF(ISERROR(FIND("V",C98,1)),"","RECEIVE, "), IF(ISERROR(FIND("C",C98,1)),"","INSERT, "),IF(ISERROR(FIND("R",C98,1)),"","SELECT, "), IF(ISERROR(FIND("U",C98,1)),"","UPDATE, "),IF(ISERROR(FIND("D",C98,1)),"","DELETE, "), IF(ISERROR(FIND("X",C98,1)),"","EXECUTE, "), IF(ISERROR(FIND("F",C98,1)),"","REFERENCES")),IF(ISERROR(FIND("F",C98,1)), LEN(CONCATENATE(IF(ISERROR(FIND("V",C98,1)),"","RECEIVE, "), IF(ISERROR(FIND("C",C98,1)),"","INSERT, "),IF(ISERROR(FIND("R",C98,1)),"","SELECT, "), IF(ISERROR(FIND("U",C98,1)),"","UPDATE, "),IF(ISERROR(FIND("D",C98,1)),"","DELETE, "), IF(ISERROR(FIND("X",C98,1)),"","EXECUTE, ")))-2,LEN(CONCATENATE(IF(ISERROR(FIND("V",C98,1)),"","RECEIVE, "), IF(ISERROR(FIND("C",C98,1)),"","INSERT, "),IF(ISERROR(FIND("R",C98,1)),"","SELECT, "), IF(ISERROR(FIND("U",C98,1)),"","UPDATE, "),IF(ISERROR(FIND("D",C98,1)),"","DELETE, "), IF(ISERROR(FIND("X",C98,1)),"","EXECUTE, "),IF(ISERROR(FIND("F",C98,1)),"","REFERENCES"))))), " ON ",IF(ISERROR(FIND("[",$A98,1)),"[",""), $A98, IF(ISERROR(FIND("]",$A98,1)),"]",""), ".", IF(ISERROR(FIND("[",$B98,1)),"[",""), $B98, IF(ISERROR(FIND("]",$B98,1)),"]","")))), " TO ", IF(ISERROR(FIND("[",D$8,1)),"[",""), D$8, IF(ISERROR(FIND("]",D$8,1)),"]",""),";" ))</f>
        <v>GRANT EXECUTE, REFERENCES ON [Utility].[spOLAP_GetHierarchiesAttributes] TO [R_DemandaDW];</v>
      </c>
    </row>
    <row r="99" spans="1:4" ht="22.5" x14ac:dyDescent="0.2">
      <c r="A99" s="74" t="s">
        <v>144</v>
      </c>
      <c r="B99" s="74" t="s">
        <v>212</v>
      </c>
      <c r="C99" s="75" t="s">
        <v>170</v>
      </c>
      <c r="D99" s="76" t="str">
        <f>IF(OR($A99="", C99=""), "", CONCATENATE("GRANT ", IF(NOT(ISERROR(FIND("H",C99,1))), CONCATENATE("EXECUTE ON XML SCHEMA COLLECTION::",IF(ISERROR(FIND("[",$A99,1)),"[",""), $A99, IF(ISERROR(FIND("]",$A99,1)),"]",""), ".", IF(ISERROR(FIND("[",$B99,1)),"[",""), $B99, IF(ISERROR(FIND("]",$B99,1)),"]","")),IF(NOT(ISERROR(FIND("N",C99,1))), CONCATENATE("SEND ON SERVICE::",IF(ISERROR(FIND("[",$B99,1)),"[",""), $B99, IF(ISERROR(FIND("]",$B99,1)),"]","")),CONCATENATE(LEFT(CONCATENATE(IF(ISERROR(FIND("V",C99,1)),"","RECEIVE, "), IF(ISERROR(FIND("C",C99,1)),"","INSERT, "),IF(ISERROR(FIND("R",C99,1)),"","SELECT, "), IF(ISERROR(FIND("U",C99,1)),"","UPDATE, "),IF(ISERROR(FIND("D",C99,1)),"","DELETE, "), IF(ISERROR(FIND("X",C99,1)),"","EXECUTE, "), IF(ISERROR(FIND("F",C99,1)),"","REFERENCES")),IF(ISERROR(FIND("F",C99,1)), LEN(CONCATENATE(IF(ISERROR(FIND("V",C99,1)),"","RECEIVE, "), IF(ISERROR(FIND("C",C99,1)),"","INSERT, "),IF(ISERROR(FIND("R",C99,1)),"","SELECT, "), IF(ISERROR(FIND("U",C99,1)),"","UPDATE, "),IF(ISERROR(FIND("D",C99,1)),"","DELETE, "), IF(ISERROR(FIND("X",C99,1)),"","EXECUTE, ")))-2,LEN(CONCATENATE(IF(ISERROR(FIND("V",C99,1)),"","RECEIVE, "), IF(ISERROR(FIND("C",C99,1)),"","INSERT, "),IF(ISERROR(FIND("R",C99,1)),"","SELECT, "), IF(ISERROR(FIND("U",C99,1)),"","UPDATE, "),IF(ISERROR(FIND("D",C99,1)),"","DELETE, "), IF(ISERROR(FIND("X",C99,1)),"","EXECUTE, "),IF(ISERROR(FIND("F",C99,1)),"","REFERENCES"))))), " ON ",IF(ISERROR(FIND("[",$A99,1)),"[",""), $A99, IF(ISERROR(FIND("]",$A99,1)),"]",""), ".", IF(ISERROR(FIND("[",$B99,1)),"[",""), $B99, IF(ISERROR(FIND("]",$B99,1)),"]","")))), " TO ", IF(ISERROR(FIND("[",D$8,1)),"[",""), D$8, IF(ISERROR(FIND("]",D$8,1)),"]",""),";" ))</f>
        <v>GRANT EXECUTE, REFERENCES ON [Utility].[spOLAP_GetKPI] TO [R_DemandaDW];</v>
      </c>
    </row>
    <row r="100" spans="1:4" ht="33.75" x14ac:dyDescent="0.2">
      <c r="A100" s="74" t="s">
        <v>144</v>
      </c>
      <c r="B100" s="74" t="s">
        <v>213</v>
      </c>
      <c r="C100" s="75" t="s">
        <v>170</v>
      </c>
      <c r="D100" s="76" t="str">
        <f>IF(OR($A100="", C100=""), "", CONCATENATE("GRANT ", IF(NOT(ISERROR(FIND("H",C100,1))), CONCATENATE("EXECUTE ON XML SCHEMA COLLECTION::",IF(ISERROR(FIND("[",$A100,1)),"[",""), $A100, IF(ISERROR(FIND("]",$A100,1)),"]",""), ".", IF(ISERROR(FIND("[",$B100,1)),"[",""), $B100, IF(ISERROR(FIND("]",$B100,1)),"]","")),IF(NOT(ISERROR(FIND("N",C100,1))), CONCATENATE("SEND ON SERVICE::",IF(ISERROR(FIND("[",$B100,1)),"[",""), $B100, IF(ISERROR(FIND("]",$B100,1)),"]","")),CONCATENATE(LEFT(CONCATENATE(IF(ISERROR(FIND("V",C100,1)),"","RECEIVE, "), IF(ISERROR(FIND("C",C100,1)),"","INSERT, "),IF(ISERROR(FIND("R",C100,1)),"","SELECT, "), IF(ISERROR(FIND("U",C100,1)),"","UPDATE, "),IF(ISERROR(FIND("D",C100,1)),"","DELETE, "), IF(ISERROR(FIND("X",C100,1)),"","EXECUTE, "), IF(ISERROR(FIND("F",C100,1)),"","REFERENCES")),IF(ISERROR(FIND("F",C100,1)), LEN(CONCATENATE(IF(ISERROR(FIND("V",C100,1)),"","RECEIVE, "), IF(ISERROR(FIND("C",C100,1)),"","INSERT, "),IF(ISERROR(FIND("R",C100,1)),"","SELECT, "), IF(ISERROR(FIND("U",C100,1)),"","UPDATE, "),IF(ISERROR(FIND("D",C100,1)),"","DELETE, "), IF(ISERROR(FIND("X",C100,1)),"","EXECUTE, ")))-2,LEN(CONCATENATE(IF(ISERROR(FIND("V",C100,1)),"","RECEIVE, "), IF(ISERROR(FIND("C",C100,1)),"","INSERT, "),IF(ISERROR(FIND("R",C100,1)),"","SELECT, "), IF(ISERROR(FIND("U",C100,1)),"","UPDATE, "),IF(ISERROR(FIND("D",C100,1)),"","DELETE, "), IF(ISERROR(FIND("X",C100,1)),"","EXECUTE, "),IF(ISERROR(FIND("F",C100,1)),"","REFERENCES"))))), " ON ",IF(ISERROR(FIND("[",$A100,1)),"[",""), $A100, IF(ISERROR(FIND("]",$A100,1)),"]",""), ".", IF(ISERROR(FIND("[",$B100,1)),"[",""), $B100, IF(ISERROR(FIND("]",$B100,1)),"]","")))), " TO ", IF(ISERROR(FIND("[",D$8,1)),"[",""), D$8, IF(ISERROR(FIND("]",D$8,1)),"]",""),";" ))</f>
        <v>GRANT EXECUTE, REFERENCES ON [Utility].[spOLAP_GetMeasureGroups] TO [R_DemandaDW];</v>
      </c>
    </row>
    <row r="101" spans="1:4" ht="33.75" x14ac:dyDescent="0.2">
      <c r="A101" s="74" t="s">
        <v>144</v>
      </c>
      <c r="B101" s="74" t="s">
        <v>214</v>
      </c>
      <c r="C101" s="75" t="s">
        <v>170</v>
      </c>
      <c r="D101" s="76" t="str">
        <f>IF(OR($A101="", C101=""), "", CONCATENATE("GRANT ", IF(NOT(ISERROR(FIND("H",C101,1))), CONCATENATE("EXECUTE ON XML SCHEMA COLLECTION::",IF(ISERROR(FIND("[",$A101,1)),"[",""), $A101, IF(ISERROR(FIND("]",$A101,1)),"]",""), ".", IF(ISERROR(FIND("[",$B101,1)),"[",""), $B101, IF(ISERROR(FIND("]",$B101,1)),"]","")),IF(NOT(ISERROR(FIND("N",C101,1))), CONCATENATE("SEND ON SERVICE::",IF(ISERROR(FIND("[",$B101,1)),"[",""), $B101, IF(ISERROR(FIND("]",$B101,1)),"]","")),CONCATENATE(LEFT(CONCATENATE(IF(ISERROR(FIND("V",C101,1)),"","RECEIVE, "), IF(ISERROR(FIND("C",C101,1)),"","INSERT, "),IF(ISERROR(FIND("R",C101,1)),"","SELECT, "), IF(ISERROR(FIND("U",C101,1)),"","UPDATE, "),IF(ISERROR(FIND("D",C101,1)),"","DELETE, "), IF(ISERROR(FIND("X",C101,1)),"","EXECUTE, "), IF(ISERROR(FIND("F",C101,1)),"","REFERENCES")),IF(ISERROR(FIND("F",C101,1)), LEN(CONCATENATE(IF(ISERROR(FIND("V",C101,1)),"","RECEIVE, "), IF(ISERROR(FIND("C",C101,1)),"","INSERT, "),IF(ISERROR(FIND("R",C101,1)),"","SELECT, "), IF(ISERROR(FIND("U",C101,1)),"","UPDATE, "),IF(ISERROR(FIND("D",C101,1)),"","DELETE, "), IF(ISERROR(FIND("X",C101,1)),"","EXECUTE, ")))-2,LEN(CONCATENATE(IF(ISERROR(FIND("V",C101,1)),"","RECEIVE, "), IF(ISERROR(FIND("C",C101,1)),"","INSERT, "),IF(ISERROR(FIND("R",C101,1)),"","SELECT, "), IF(ISERROR(FIND("U",C101,1)),"","UPDATE, "),IF(ISERROR(FIND("D",C101,1)),"","DELETE, "), IF(ISERROR(FIND("X",C101,1)),"","EXECUTE, "),IF(ISERROR(FIND("F",C101,1)),"","REFERENCES"))))), " ON ",IF(ISERROR(FIND("[",$A101,1)),"[",""), $A101, IF(ISERROR(FIND("]",$A101,1)),"]",""), ".", IF(ISERROR(FIND("[",$B101,1)),"[",""), $B101, IF(ISERROR(FIND("]",$B101,1)),"]","")))), " TO ", IF(ISERROR(FIND("[",D$8,1)),"[",""), D$8, IF(ISERROR(FIND("]",D$8,1)),"]",""),";" ))</f>
        <v>GRANT EXECUTE, REFERENCES ON [Utility].[spOLAP_GetMeasureGroupsDimensions] TO [R_DemandaDW];</v>
      </c>
    </row>
    <row r="102" spans="1:4" ht="33.75" x14ac:dyDescent="0.2">
      <c r="A102" s="74" t="s">
        <v>144</v>
      </c>
      <c r="B102" s="74" t="s">
        <v>215</v>
      </c>
      <c r="C102" s="75" t="s">
        <v>170</v>
      </c>
      <c r="D102" s="76" t="str">
        <f>IF(OR($A102="", C102=""), "", CONCATENATE("GRANT ", IF(NOT(ISERROR(FIND("H",C102,1))), CONCATENATE("EXECUTE ON XML SCHEMA COLLECTION::",IF(ISERROR(FIND("[",$A102,1)),"[",""), $A102, IF(ISERROR(FIND("]",$A102,1)),"]",""), ".", IF(ISERROR(FIND("[",$B102,1)),"[",""), $B102, IF(ISERROR(FIND("]",$B102,1)),"]","")),IF(NOT(ISERROR(FIND("N",C102,1))), CONCATENATE("SEND ON SERVICE::",IF(ISERROR(FIND("[",$B102,1)),"[",""), $B102, IF(ISERROR(FIND("]",$B102,1)),"]","")),CONCATENATE(LEFT(CONCATENATE(IF(ISERROR(FIND("V",C102,1)),"","RECEIVE, "), IF(ISERROR(FIND("C",C102,1)),"","INSERT, "),IF(ISERROR(FIND("R",C102,1)),"","SELECT, "), IF(ISERROR(FIND("U",C102,1)),"","UPDATE, "),IF(ISERROR(FIND("D",C102,1)),"","DELETE, "), IF(ISERROR(FIND("X",C102,1)),"","EXECUTE, "), IF(ISERROR(FIND("F",C102,1)),"","REFERENCES")),IF(ISERROR(FIND("F",C102,1)), LEN(CONCATENATE(IF(ISERROR(FIND("V",C102,1)),"","RECEIVE, "), IF(ISERROR(FIND("C",C102,1)),"","INSERT, "),IF(ISERROR(FIND("R",C102,1)),"","SELECT, "), IF(ISERROR(FIND("U",C102,1)),"","UPDATE, "),IF(ISERROR(FIND("D",C102,1)),"","DELETE, "), IF(ISERROR(FIND("X",C102,1)),"","EXECUTE, ")))-2,LEN(CONCATENATE(IF(ISERROR(FIND("V",C102,1)),"","RECEIVE, "), IF(ISERROR(FIND("C",C102,1)),"","INSERT, "),IF(ISERROR(FIND("R",C102,1)),"","SELECT, "), IF(ISERROR(FIND("U",C102,1)),"","UPDATE, "),IF(ISERROR(FIND("D",C102,1)),"","DELETE, "), IF(ISERROR(FIND("X",C102,1)),"","EXECUTE, "),IF(ISERROR(FIND("F",C102,1)),"","REFERENCES"))))), " ON ",IF(ISERROR(FIND("[",$A102,1)),"[",""), $A102, IF(ISERROR(FIND("]",$A102,1)),"]",""), ".", IF(ISERROR(FIND("[",$B102,1)),"[",""), $B102, IF(ISERROR(FIND("]",$B102,1)),"]","")))), " TO ", IF(ISERROR(FIND("[",D$8,1)),"[",""), D$8, IF(ISERROR(FIND("]",D$8,1)),"]",""),";" ))</f>
        <v>GRANT EXECUTE, REFERENCES ON [Utility].[spOLAP_GetMeasureGroupsDimensionsSpaceDiagram] TO [R_DemandaDW];</v>
      </c>
    </row>
    <row r="103" spans="1:4" ht="33.75" x14ac:dyDescent="0.2">
      <c r="A103" s="74" t="s">
        <v>144</v>
      </c>
      <c r="B103" s="74" t="s">
        <v>216</v>
      </c>
      <c r="C103" s="75" t="s">
        <v>170</v>
      </c>
      <c r="D103" s="76" t="str">
        <f>IF(OR($A103="", C103=""), "", CONCATENATE("GRANT ", IF(NOT(ISERROR(FIND("H",C103,1))), CONCATENATE("EXECUTE ON XML SCHEMA COLLECTION::",IF(ISERROR(FIND("[",$A103,1)),"[",""), $A103, IF(ISERROR(FIND("]",$A103,1)),"]",""), ".", IF(ISERROR(FIND("[",$B103,1)),"[",""), $B103, IF(ISERROR(FIND("]",$B103,1)),"]","")),IF(NOT(ISERROR(FIND("N",C103,1))), CONCATENATE("SEND ON SERVICE::",IF(ISERROR(FIND("[",$B103,1)),"[",""), $B103, IF(ISERROR(FIND("]",$B103,1)),"]","")),CONCATENATE(LEFT(CONCATENATE(IF(ISERROR(FIND("V",C103,1)),"","RECEIVE, "), IF(ISERROR(FIND("C",C103,1)),"","INSERT, "),IF(ISERROR(FIND("R",C103,1)),"","SELECT, "), IF(ISERROR(FIND("U",C103,1)),"","UPDATE, "),IF(ISERROR(FIND("D",C103,1)),"","DELETE, "), IF(ISERROR(FIND("X",C103,1)),"","EXECUTE, "), IF(ISERROR(FIND("F",C103,1)),"","REFERENCES")),IF(ISERROR(FIND("F",C103,1)), LEN(CONCATENATE(IF(ISERROR(FIND("V",C103,1)),"","RECEIVE, "), IF(ISERROR(FIND("C",C103,1)),"","INSERT, "),IF(ISERROR(FIND("R",C103,1)),"","SELECT, "), IF(ISERROR(FIND("U",C103,1)),"","UPDATE, "),IF(ISERROR(FIND("D",C103,1)),"","DELETE, "), IF(ISERROR(FIND("X",C103,1)),"","EXECUTE, ")))-2,LEN(CONCATENATE(IF(ISERROR(FIND("V",C103,1)),"","RECEIVE, "), IF(ISERROR(FIND("C",C103,1)),"","INSERT, "),IF(ISERROR(FIND("R",C103,1)),"","SELECT, "), IF(ISERROR(FIND("U",C103,1)),"","UPDATE, "),IF(ISERROR(FIND("D",C103,1)),"","DELETE, "), IF(ISERROR(FIND("X",C103,1)),"","EXECUTE, "),IF(ISERROR(FIND("F",C103,1)),"","REFERENCES"))))), " ON ",IF(ISERROR(FIND("[",$A103,1)),"[",""), $A103, IF(ISERROR(FIND("]",$A103,1)),"]",""), ".", IF(ISERROR(FIND("[",$B103,1)),"[",""), $B103, IF(ISERROR(FIND("]",$B103,1)),"]","")))), " TO ", IF(ISERROR(FIND("[",D$8,1)),"[",""), D$8, IF(ISERROR(FIND("]",D$8,1)),"]",""),";" ))</f>
        <v>GRANT EXECUTE, REFERENCES ON [Utility].[spOLAP_GetMeasures] TO [R_DemandaDW];</v>
      </c>
    </row>
    <row r="104" spans="1:4" ht="33.75" x14ac:dyDescent="0.2">
      <c r="A104" s="74" t="s">
        <v>144</v>
      </c>
      <c r="B104" s="74" t="s">
        <v>217</v>
      </c>
      <c r="C104" s="75" t="s">
        <v>170</v>
      </c>
      <c r="D104" s="76" t="str">
        <f>IF(OR($A104="", C104=""), "", CONCATENATE("GRANT ", IF(NOT(ISERROR(FIND("H",C104,1))), CONCATENATE("EXECUTE ON XML SCHEMA COLLECTION::",IF(ISERROR(FIND("[",$A104,1)),"[",""), $A104, IF(ISERROR(FIND("]",$A104,1)),"]",""), ".", IF(ISERROR(FIND("[",$B104,1)),"[",""), $B104, IF(ISERROR(FIND("]",$B104,1)),"]","")),IF(NOT(ISERROR(FIND("N",C104,1))), CONCATENATE("SEND ON SERVICE::",IF(ISERROR(FIND("[",$B104,1)),"[",""), $B104, IF(ISERROR(FIND("]",$B104,1)),"]","")),CONCATENATE(LEFT(CONCATENATE(IF(ISERROR(FIND("V",C104,1)),"","RECEIVE, "), IF(ISERROR(FIND("C",C104,1)),"","INSERT, "),IF(ISERROR(FIND("R",C104,1)),"","SELECT, "), IF(ISERROR(FIND("U",C104,1)),"","UPDATE, "),IF(ISERROR(FIND("D",C104,1)),"","DELETE, "), IF(ISERROR(FIND("X",C104,1)),"","EXECUTE, "), IF(ISERROR(FIND("F",C104,1)),"","REFERENCES")),IF(ISERROR(FIND("F",C104,1)), LEN(CONCATENATE(IF(ISERROR(FIND("V",C104,1)),"","RECEIVE, "), IF(ISERROR(FIND("C",C104,1)),"","INSERT, "),IF(ISERROR(FIND("R",C104,1)),"","SELECT, "), IF(ISERROR(FIND("U",C104,1)),"","UPDATE, "),IF(ISERROR(FIND("D",C104,1)),"","DELETE, "), IF(ISERROR(FIND("X",C104,1)),"","EXECUTE, ")))-2,LEN(CONCATENATE(IF(ISERROR(FIND("V",C104,1)),"","RECEIVE, "), IF(ISERROR(FIND("C",C104,1)),"","INSERT, "),IF(ISERROR(FIND("R",C104,1)),"","SELECT, "), IF(ISERROR(FIND("U",C104,1)),"","UPDATE, "),IF(ISERROR(FIND("D",C104,1)),"","DELETE, "), IF(ISERROR(FIND("X",C104,1)),"","EXECUTE, "),IF(ISERROR(FIND("F",C104,1)),"","REFERENCES"))))), " ON ",IF(ISERROR(FIND("[",$A104,1)),"[",""), $A104, IF(ISERROR(FIND("]",$A104,1)),"]",""), ".", IF(ISERROR(FIND("[",$B104,1)),"[",""), $B104, IF(ISERROR(FIND("]",$B104,1)),"]","")))), " TO ", IF(ISERROR(FIND("[",D$8,1)),"[",""), D$8, IF(ISERROR(FIND("]",D$8,1)),"]",""),";" ))</f>
        <v>GRANT EXECUTE, REFERENCES ON [Utility].[spOLAP_GetMiningModel] TO [R_DemandaDW];</v>
      </c>
    </row>
    <row r="105" spans="1:4" ht="33.75" x14ac:dyDescent="0.2">
      <c r="A105" s="74" t="s">
        <v>144</v>
      </c>
      <c r="B105" s="74" t="s">
        <v>218</v>
      </c>
      <c r="C105" s="75" t="s">
        <v>170</v>
      </c>
      <c r="D105" s="76" t="str">
        <f>IF(OR($A105="", C105=""), "", CONCATENATE("GRANT ", IF(NOT(ISERROR(FIND("H",C105,1))), CONCATENATE("EXECUTE ON XML SCHEMA COLLECTION::",IF(ISERROR(FIND("[",$A105,1)),"[",""), $A105, IF(ISERROR(FIND("]",$A105,1)),"]",""), ".", IF(ISERROR(FIND("[",$B105,1)),"[",""), $B105, IF(ISERROR(FIND("]",$B105,1)),"]","")),IF(NOT(ISERROR(FIND("N",C105,1))), CONCATENATE("SEND ON SERVICE::",IF(ISERROR(FIND("[",$B105,1)),"[",""), $B105, IF(ISERROR(FIND("]",$B105,1)),"]","")),CONCATENATE(LEFT(CONCATENATE(IF(ISERROR(FIND("V",C105,1)),"","RECEIVE, "), IF(ISERROR(FIND("C",C105,1)),"","INSERT, "),IF(ISERROR(FIND("R",C105,1)),"","SELECT, "), IF(ISERROR(FIND("U",C105,1)),"","UPDATE, "),IF(ISERROR(FIND("D",C105,1)),"","DELETE, "), IF(ISERROR(FIND("X",C105,1)),"","EXECUTE, "), IF(ISERROR(FIND("F",C105,1)),"","REFERENCES")),IF(ISERROR(FIND("F",C105,1)), LEN(CONCATENATE(IF(ISERROR(FIND("V",C105,1)),"","RECEIVE, "), IF(ISERROR(FIND("C",C105,1)),"","INSERT, "),IF(ISERROR(FIND("R",C105,1)),"","SELECT, "), IF(ISERROR(FIND("U",C105,1)),"","UPDATE, "),IF(ISERROR(FIND("D",C105,1)),"","DELETE, "), IF(ISERROR(FIND("X",C105,1)),"","EXECUTE, ")))-2,LEN(CONCATENATE(IF(ISERROR(FIND("V",C105,1)),"","RECEIVE, "), IF(ISERROR(FIND("C",C105,1)),"","INSERT, "),IF(ISERROR(FIND("R",C105,1)),"","SELECT, "), IF(ISERROR(FIND("U",C105,1)),"","UPDATE, "),IF(ISERROR(FIND("D",C105,1)),"","DELETE, "), IF(ISERROR(FIND("X",C105,1)),"","EXECUTE, "),IF(ISERROR(FIND("F",C105,1)),"","REFERENCES"))))), " ON ",IF(ISERROR(FIND("[",$A105,1)),"[",""), $A105, IF(ISERROR(FIND("]",$A105,1)),"]",""), ".", IF(ISERROR(FIND("[",$B105,1)),"[",""), $B105, IF(ISERROR(FIND("]",$B105,1)),"]","")))), " TO ", IF(ISERROR(FIND("[",D$8,1)),"[",""), D$8, IF(ISERROR(FIND("]",D$8,1)),"]",""),";" ))</f>
        <v>GRANT EXECUTE, REFERENCES ON [Utility].[spOLAP_GetMiningModelColumns] TO [R_DemandaDW];</v>
      </c>
    </row>
    <row r="106" spans="1:4" ht="33.75" x14ac:dyDescent="0.2">
      <c r="A106" s="74" t="s">
        <v>144</v>
      </c>
      <c r="B106" s="74" t="s">
        <v>219</v>
      </c>
      <c r="C106" s="75" t="s">
        <v>170</v>
      </c>
      <c r="D106" s="76" t="str">
        <f>IF(OR($A106="", C106=""), "", CONCATENATE("GRANT ", IF(NOT(ISERROR(FIND("H",C106,1))), CONCATENATE("EXECUTE ON XML SCHEMA COLLECTION::",IF(ISERROR(FIND("[",$A106,1)),"[",""), $A106, IF(ISERROR(FIND("]",$A106,1)),"]",""), ".", IF(ISERROR(FIND("[",$B106,1)),"[",""), $B106, IF(ISERROR(FIND("]",$B106,1)),"]","")),IF(NOT(ISERROR(FIND("N",C106,1))), CONCATENATE("SEND ON SERVICE::",IF(ISERROR(FIND("[",$B106,1)),"[",""), $B106, IF(ISERROR(FIND("]",$B106,1)),"]","")),CONCATENATE(LEFT(CONCATENATE(IF(ISERROR(FIND("V",C106,1)),"","RECEIVE, "), IF(ISERROR(FIND("C",C106,1)),"","INSERT, "),IF(ISERROR(FIND("R",C106,1)),"","SELECT, "), IF(ISERROR(FIND("U",C106,1)),"","UPDATE, "),IF(ISERROR(FIND("D",C106,1)),"","DELETE, "), IF(ISERROR(FIND("X",C106,1)),"","EXECUTE, "), IF(ISERROR(FIND("F",C106,1)),"","REFERENCES")),IF(ISERROR(FIND("F",C106,1)), LEN(CONCATENATE(IF(ISERROR(FIND("V",C106,1)),"","RECEIVE, "), IF(ISERROR(FIND("C",C106,1)),"","INSERT, "),IF(ISERROR(FIND("R",C106,1)),"","SELECT, "), IF(ISERROR(FIND("U",C106,1)),"","UPDATE, "),IF(ISERROR(FIND("D",C106,1)),"","DELETE, "), IF(ISERROR(FIND("X",C106,1)),"","EXECUTE, ")))-2,LEN(CONCATENATE(IF(ISERROR(FIND("V",C106,1)),"","RECEIVE, "), IF(ISERROR(FIND("C",C106,1)),"","INSERT, "),IF(ISERROR(FIND("R",C106,1)),"","SELECT, "), IF(ISERROR(FIND("U",C106,1)),"","UPDATE, "),IF(ISERROR(FIND("D",C106,1)),"","DELETE, "), IF(ISERROR(FIND("X",C106,1)),"","EXECUTE, "),IF(ISERROR(FIND("F",C106,1)),"","REFERENCES"))))), " ON ",IF(ISERROR(FIND("[",$A106,1)),"[",""), $A106, IF(ISERROR(FIND("]",$A106,1)),"]",""), ".", IF(ISERROR(FIND("[",$B106,1)),"[",""), $B106, IF(ISERROR(FIND("]",$B106,1)),"]","")))), " TO ", IF(ISERROR(FIND("[",D$8,1)),"[",""), D$8, IF(ISERROR(FIND("]",D$8,1)),"]",""),";" ))</f>
        <v>GRANT EXECUTE, REFERENCES ON [Utility].[spOLAP_GetMiningStructureColumns] TO [R_DemandaDW];</v>
      </c>
    </row>
    <row r="107" spans="1:4" ht="33.75" x14ac:dyDescent="0.2">
      <c r="A107" s="74" t="s">
        <v>144</v>
      </c>
      <c r="B107" s="74" t="s">
        <v>220</v>
      </c>
      <c r="C107" s="75" t="s">
        <v>170</v>
      </c>
      <c r="D107" s="76" t="str">
        <f>IF(OR($A107="", C107=""), "", CONCATENATE("GRANT ", IF(NOT(ISERROR(FIND("H",C107,1))), CONCATENATE("EXECUTE ON XML SCHEMA COLLECTION::",IF(ISERROR(FIND("[",$A107,1)),"[",""), $A107, IF(ISERROR(FIND("]",$A107,1)),"]",""), ".", IF(ISERROR(FIND("[",$B107,1)),"[",""), $B107, IF(ISERROR(FIND("]",$B107,1)),"]","")),IF(NOT(ISERROR(FIND("N",C107,1))), CONCATENATE("SEND ON SERVICE::",IF(ISERROR(FIND("[",$B107,1)),"[",""), $B107, IF(ISERROR(FIND("]",$B107,1)),"]","")),CONCATENATE(LEFT(CONCATENATE(IF(ISERROR(FIND("V",C107,1)),"","RECEIVE, "), IF(ISERROR(FIND("C",C107,1)),"","INSERT, "),IF(ISERROR(FIND("R",C107,1)),"","SELECT, "), IF(ISERROR(FIND("U",C107,1)),"","UPDATE, "),IF(ISERROR(FIND("D",C107,1)),"","DELETE, "), IF(ISERROR(FIND("X",C107,1)),"","EXECUTE, "), IF(ISERROR(FIND("F",C107,1)),"","REFERENCES")),IF(ISERROR(FIND("F",C107,1)), LEN(CONCATENATE(IF(ISERROR(FIND("V",C107,1)),"","RECEIVE, "), IF(ISERROR(FIND("C",C107,1)),"","INSERT, "),IF(ISERROR(FIND("R",C107,1)),"","SELECT, "), IF(ISERROR(FIND("U",C107,1)),"","UPDATE, "),IF(ISERROR(FIND("D",C107,1)),"","DELETE, "), IF(ISERROR(FIND("X",C107,1)),"","EXECUTE, ")))-2,LEN(CONCATENATE(IF(ISERROR(FIND("V",C107,1)),"","RECEIVE, "), IF(ISERROR(FIND("C",C107,1)),"","INSERT, "),IF(ISERROR(FIND("R",C107,1)),"","SELECT, "), IF(ISERROR(FIND("U",C107,1)),"","UPDATE, "),IF(ISERROR(FIND("D",C107,1)),"","DELETE, "), IF(ISERROR(FIND("X",C107,1)),"","EXECUTE, "),IF(ISERROR(FIND("F",C107,1)),"","REFERENCES"))))), " ON ",IF(ISERROR(FIND("[",$A107,1)),"[",""), $A107, IF(ISERROR(FIND("]",$A107,1)),"]",""), ".", IF(ISERROR(FIND("[",$B107,1)),"[",""), $B107, IF(ISERROR(FIND("]",$B107,1)),"]","")))), " TO ", IF(ISERROR(FIND("[",D$8,1)),"[",""), D$8, IF(ISERROR(FIND("]",D$8,1)),"]",""),";" ))</f>
        <v>GRANT EXECUTE, REFERENCES ON [Utility].[spOLAP_GetMiningStructures] TO [R_DemandaDW];</v>
      </c>
    </row>
    <row r="108" spans="1:4" ht="33.75" x14ac:dyDescent="0.2">
      <c r="A108" s="74" t="s">
        <v>144</v>
      </c>
      <c r="B108" s="74" t="s">
        <v>221</v>
      </c>
      <c r="C108" s="75" t="s">
        <v>170</v>
      </c>
      <c r="D108" s="76" t="str">
        <f>IF(OR($A108="", C108=""), "", CONCATENATE("GRANT ", IF(NOT(ISERROR(FIND("H",C108,1))), CONCATENATE("EXECUTE ON XML SCHEMA COLLECTION::",IF(ISERROR(FIND("[",$A108,1)),"[",""), $A108, IF(ISERROR(FIND("]",$A108,1)),"]",""), ".", IF(ISERROR(FIND("[",$B108,1)),"[",""), $B108, IF(ISERROR(FIND("]",$B108,1)),"]","")),IF(NOT(ISERROR(FIND("N",C108,1))), CONCATENATE("SEND ON SERVICE::",IF(ISERROR(FIND("[",$B108,1)),"[",""), $B108, IF(ISERROR(FIND("]",$B108,1)),"]","")),CONCATENATE(LEFT(CONCATENATE(IF(ISERROR(FIND("V",C108,1)),"","RECEIVE, "), IF(ISERROR(FIND("C",C108,1)),"","INSERT, "),IF(ISERROR(FIND("R",C108,1)),"","SELECT, "), IF(ISERROR(FIND("U",C108,1)),"","UPDATE, "),IF(ISERROR(FIND("D",C108,1)),"","DELETE, "), IF(ISERROR(FIND("X",C108,1)),"","EXECUTE, "), IF(ISERROR(FIND("F",C108,1)),"","REFERENCES")),IF(ISERROR(FIND("F",C108,1)), LEN(CONCATENATE(IF(ISERROR(FIND("V",C108,1)),"","RECEIVE, "), IF(ISERROR(FIND("C",C108,1)),"","INSERT, "),IF(ISERROR(FIND("R",C108,1)),"","SELECT, "), IF(ISERROR(FIND("U",C108,1)),"","UPDATE, "),IF(ISERROR(FIND("D",C108,1)),"","DELETE, "), IF(ISERROR(FIND("X",C108,1)),"","EXECUTE, ")))-2,LEN(CONCATENATE(IF(ISERROR(FIND("V",C108,1)),"","RECEIVE, "), IF(ISERROR(FIND("C",C108,1)),"","INSERT, "),IF(ISERROR(FIND("R",C108,1)),"","SELECT, "), IF(ISERROR(FIND("U",C108,1)),"","UPDATE, "),IF(ISERROR(FIND("D",C108,1)),"","DELETE, "), IF(ISERROR(FIND("X",C108,1)),"","EXECUTE, "),IF(ISERROR(FIND("F",C108,1)),"","REFERENCES"))))), " ON ",IF(ISERROR(FIND("[",$A108,1)),"[",""), $A108, IF(ISERROR(FIND("]",$A108,1)),"]",""), ".", IF(ISERROR(FIND("[",$B108,1)),"[",""), $B108, IF(ISERROR(FIND("]",$B108,1)),"]","")))), " TO ", IF(ISERROR(FIND("[",D$8,1)),"[",""), D$8, IF(ISERROR(FIND("]",D$8,1)),"]",""),";" ))</f>
        <v>GRANT EXECUTE, REFERENCES ON [Utility].[spOLAP_GetPerspectives] TO [R_DemandaDW];</v>
      </c>
    </row>
    <row r="109" spans="1:4" ht="33.75" x14ac:dyDescent="0.2">
      <c r="A109" s="74" t="s">
        <v>144</v>
      </c>
      <c r="B109" s="74" t="s">
        <v>222</v>
      </c>
      <c r="C109" s="75" t="s">
        <v>170</v>
      </c>
      <c r="D109" s="76" t="str">
        <f>IF(OR($A109="", C109=""), "", CONCATENATE("GRANT ", IF(NOT(ISERROR(FIND("H",C109,1))), CONCATENATE("EXECUTE ON XML SCHEMA COLLECTION::",IF(ISERROR(FIND("[",$A109,1)),"[",""), $A109, IF(ISERROR(FIND("]",$A109,1)),"]",""), ".", IF(ISERROR(FIND("[",$B109,1)),"[",""), $B109, IF(ISERROR(FIND("]",$B109,1)),"]","")),IF(NOT(ISERROR(FIND("N",C109,1))), CONCATENATE("SEND ON SERVICE::",IF(ISERROR(FIND("[",$B109,1)),"[",""), $B109, IF(ISERROR(FIND("]",$B109,1)),"]","")),CONCATENATE(LEFT(CONCATENATE(IF(ISERROR(FIND("V",C109,1)),"","RECEIVE, "), IF(ISERROR(FIND("C",C109,1)),"","INSERT, "),IF(ISERROR(FIND("R",C109,1)),"","SELECT, "), IF(ISERROR(FIND("U",C109,1)),"","UPDATE, "),IF(ISERROR(FIND("D",C109,1)),"","DELETE, "), IF(ISERROR(FIND("X",C109,1)),"","EXECUTE, "), IF(ISERROR(FIND("F",C109,1)),"","REFERENCES")),IF(ISERROR(FIND("F",C109,1)), LEN(CONCATENATE(IF(ISERROR(FIND("V",C109,1)),"","RECEIVE, "), IF(ISERROR(FIND("C",C109,1)),"","INSERT, "),IF(ISERROR(FIND("R",C109,1)),"","SELECT, "), IF(ISERROR(FIND("U",C109,1)),"","UPDATE, "),IF(ISERROR(FIND("D",C109,1)),"","DELETE, "), IF(ISERROR(FIND("X",C109,1)),"","EXECUTE, ")))-2,LEN(CONCATENATE(IF(ISERROR(FIND("V",C109,1)),"","RECEIVE, "), IF(ISERROR(FIND("C",C109,1)),"","INSERT, "),IF(ISERROR(FIND("R",C109,1)),"","SELECT, "), IF(ISERROR(FIND("U",C109,1)),"","UPDATE, "),IF(ISERROR(FIND("D",C109,1)),"","DELETE, "), IF(ISERROR(FIND("X",C109,1)),"","EXECUTE, "),IF(ISERROR(FIND("F",C109,1)),"","REFERENCES"))))), " ON ",IF(ISERROR(FIND("[",$A109,1)),"[",""), $A109, IF(ISERROR(FIND("]",$A109,1)),"]",""), ".", IF(ISERROR(FIND("[",$B109,1)),"[",""), $B109, IF(ISERROR(FIND("]",$B109,1)),"]","")))), " TO ", IF(ISERROR(FIND("[",D$8,1)),"[",""), D$8, IF(ISERROR(FIND("]",D$8,1)),"]",""),";" ))</f>
        <v>GRANT EXECUTE, REFERENCES ON [Utility].[spOLAP_GetSearchObject] TO [R_DemandaDW];</v>
      </c>
    </row>
    <row r="110" spans="1:4" ht="33.75" x14ac:dyDescent="0.2">
      <c r="A110" s="74" t="s">
        <v>144</v>
      </c>
      <c r="B110" s="74" t="s">
        <v>223</v>
      </c>
      <c r="C110" s="75" t="s">
        <v>170</v>
      </c>
      <c r="D110" s="76" t="str">
        <f>IF(OR($A110="", C110=""), "", CONCATENATE("GRANT ", IF(NOT(ISERROR(FIND("H",C110,1))), CONCATENATE("EXECUTE ON XML SCHEMA COLLECTION::",IF(ISERROR(FIND("[",$A110,1)),"[",""), $A110, IF(ISERROR(FIND("]",$A110,1)),"]",""), ".", IF(ISERROR(FIND("[",$B110,1)),"[",""), $B110, IF(ISERROR(FIND("]",$B110,1)),"]","")),IF(NOT(ISERROR(FIND("N",C110,1))), CONCATENATE("SEND ON SERVICE::",IF(ISERROR(FIND("[",$B110,1)),"[",""), $B110, IF(ISERROR(FIND("]",$B110,1)),"]","")),CONCATENATE(LEFT(CONCATENATE(IF(ISERROR(FIND("V",C110,1)),"","RECEIVE, "), IF(ISERROR(FIND("C",C110,1)),"","INSERT, "),IF(ISERROR(FIND("R",C110,1)),"","SELECT, "), IF(ISERROR(FIND("U",C110,1)),"","UPDATE, "),IF(ISERROR(FIND("D",C110,1)),"","DELETE, "), IF(ISERROR(FIND("X",C110,1)),"","EXECUTE, "), IF(ISERROR(FIND("F",C110,1)),"","REFERENCES")),IF(ISERROR(FIND("F",C110,1)), LEN(CONCATENATE(IF(ISERROR(FIND("V",C110,1)),"","RECEIVE, "), IF(ISERROR(FIND("C",C110,1)),"","INSERT, "),IF(ISERROR(FIND("R",C110,1)),"","SELECT, "), IF(ISERROR(FIND("U",C110,1)),"","UPDATE, "),IF(ISERROR(FIND("D",C110,1)),"","DELETE, "), IF(ISERROR(FIND("X",C110,1)),"","EXECUTE, ")))-2,LEN(CONCATENATE(IF(ISERROR(FIND("V",C110,1)),"","RECEIVE, "), IF(ISERROR(FIND("C",C110,1)),"","INSERT, "),IF(ISERROR(FIND("R",C110,1)),"","SELECT, "), IF(ISERROR(FIND("U",C110,1)),"","UPDATE, "),IF(ISERROR(FIND("D",C110,1)),"","DELETE, "), IF(ISERROR(FIND("X",C110,1)),"","EXECUTE, "),IF(ISERROR(FIND("F",C110,1)),"","REFERENCES"))))), " ON ",IF(ISERROR(FIND("[",$A110,1)),"[",""), $A110, IF(ISERROR(FIND("]",$A110,1)),"]",""), ".", IF(ISERROR(FIND("[",$B110,1)),"[",""), $B110, IF(ISERROR(FIND("]",$B110,1)),"]","")))), " TO ", IF(ISERROR(FIND("[",D$8,1)),"[",""), D$8, IF(ISERROR(FIND("]",D$8,1)),"]",""),";" ))</f>
        <v>GRANT EXECUTE, REFERENCES ON [Utility].[spOLAP_PartitionDefine] TO [R_DemandaDW];</v>
      </c>
    </row>
    <row r="111" spans="1:4" ht="33.75" x14ac:dyDescent="0.2">
      <c r="A111" s="74" t="s">
        <v>144</v>
      </c>
      <c r="B111" s="74" t="s">
        <v>224</v>
      </c>
      <c r="C111" s="75" t="s">
        <v>170</v>
      </c>
      <c r="D111" s="76" t="str">
        <f>IF(OR($A111="", C111=""), "", CONCATENATE("GRANT ", IF(NOT(ISERROR(FIND("H",C111,1))), CONCATENATE("EXECUTE ON XML SCHEMA COLLECTION::",IF(ISERROR(FIND("[",$A111,1)),"[",""), $A111, IF(ISERROR(FIND("]",$A111,1)),"]",""), ".", IF(ISERROR(FIND("[",$B111,1)),"[",""), $B111, IF(ISERROR(FIND("]",$B111,1)),"]","")),IF(NOT(ISERROR(FIND("N",C111,1))), CONCATENATE("SEND ON SERVICE::",IF(ISERROR(FIND("[",$B111,1)),"[",""), $B111, IF(ISERROR(FIND("]",$B111,1)),"]","")),CONCATENATE(LEFT(CONCATENATE(IF(ISERROR(FIND("V",C111,1)),"","RECEIVE, "), IF(ISERROR(FIND("C",C111,1)),"","INSERT, "),IF(ISERROR(FIND("R",C111,1)),"","SELECT, "), IF(ISERROR(FIND("U",C111,1)),"","UPDATE, "),IF(ISERROR(FIND("D",C111,1)),"","DELETE, "), IF(ISERROR(FIND("X",C111,1)),"","EXECUTE, "), IF(ISERROR(FIND("F",C111,1)),"","REFERENCES")),IF(ISERROR(FIND("F",C111,1)), LEN(CONCATENATE(IF(ISERROR(FIND("V",C111,1)),"","RECEIVE, "), IF(ISERROR(FIND("C",C111,1)),"","INSERT, "),IF(ISERROR(FIND("R",C111,1)),"","SELECT, "), IF(ISERROR(FIND("U",C111,1)),"","UPDATE, "),IF(ISERROR(FIND("D",C111,1)),"","DELETE, "), IF(ISERROR(FIND("X",C111,1)),"","EXECUTE, ")))-2,LEN(CONCATENATE(IF(ISERROR(FIND("V",C111,1)),"","RECEIVE, "), IF(ISERROR(FIND("C",C111,1)),"","INSERT, "),IF(ISERROR(FIND("R",C111,1)),"","SELECT, "), IF(ISERROR(FIND("U",C111,1)),"","UPDATE, "),IF(ISERROR(FIND("D",C111,1)),"","DELETE, "), IF(ISERROR(FIND("X",C111,1)),"","EXECUTE, "),IF(ISERROR(FIND("F",C111,1)),"","REFERENCES"))))), " ON ",IF(ISERROR(FIND("[",$A111,1)),"[",""), $A111, IF(ISERROR(FIND("]",$A111,1)),"]",""), ".", IF(ISERROR(FIND("[",$B111,1)),"[",""), $B111, IF(ISERROR(FIND("]",$B111,1)),"]","")))), " TO ", IF(ISERROR(FIND("[",D$8,1)),"[",""), D$8, IF(ISERROR(FIND("]",D$8,1)),"]",""),";" ))</f>
        <v>GRANT EXECUTE, REFERENCES ON [Utility].[spOLAP_QueryPartition] TO [R_DemandaDW];</v>
      </c>
    </row>
    <row r="112" spans="1:4" ht="33.75" x14ac:dyDescent="0.2">
      <c r="A112" s="74" t="s">
        <v>144</v>
      </c>
      <c r="B112" s="74" t="s">
        <v>225</v>
      </c>
      <c r="C112" s="75" t="s">
        <v>170</v>
      </c>
      <c r="D112" s="76" t="str">
        <f>IF(OR($A112="", C112=""), "", CONCATENATE("GRANT ", IF(NOT(ISERROR(FIND("H",C112,1))), CONCATENATE("EXECUTE ON XML SCHEMA COLLECTION::",IF(ISERROR(FIND("[",$A112,1)),"[",""), $A112, IF(ISERROR(FIND("]",$A112,1)),"]",""), ".", IF(ISERROR(FIND("[",$B112,1)),"[",""), $B112, IF(ISERROR(FIND("]",$B112,1)),"]","")),IF(NOT(ISERROR(FIND("N",C112,1))), CONCATENATE("SEND ON SERVICE::",IF(ISERROR(FIND("[",$B112,1)),"[",""), $B112, IF(ISERROR(FIND("]",$B112,1)),"]","")),CONCATENATE(LEFT(CONCATENATE(IF(ISERROR(FIND("V",C112,1)),"","RECEIVE, "), IF(ISERROR(FIND("C",C112,1)),"","INSERT, "),IF(ISERROR(FIND("R",C112,1)),"","SELECT, "), IF(ISERROR(FIND("U",C112,1)),"","UPDATE, "),IF(ISERROR(FIND("D",C112,1)),"","DELETE, "), IF(ISERROR(FIND("X",C112,1)),"","EXECUTE, "), IF(ISERROR(FIND("F",C112,1)),"","REFERENCES")),IF(ISERROR(FIND("F",C112,1)), LEN(CONCATENATE(IF(ISERROR(FIND("V",C112,1)),"","RECEIVE, "), IF(ISERROR(FIND("C",C112,1)),"","INSERT, "),IF(ISERROR(FIND("R",C112,1)),"","SELECT, "), IF(ISERROR(FIND("U",C112,1)),"","UPDATE, "),IF(ISERROR(FIND("D",C112,1)),"","DELETE, "), IF(ISERROR(FIND("X",C112,1)),"","EXECUTE, ")))-2,LEN(CONCATENATE(IF(ISERROR(FIND("V",C112,1)),"","RECEIVE, "), IF(ISERROR(FIND("C",C112,1)),"","INSERT, "),IF(ISERROR(FIND("R",C112,1)),"","SELECT, "), IF(ISERROR(FIND("U",C112,1)),"","UPDATE, "),IF(ISERROR(FIND("D",C112,1)),"","DELETE, "), IF(ISERROR(FIND("X",C112,1)),"","EXECUTE, "),IF(ISERROR(FIND("F",C112,1)),"","REFERENCES"))))), " ON ",IF(ISERROR(FIND("[",$A112,1)),"[",""), $A112, IF(ISERROR(FIND("]",$A112,1)),"]",""), ".", IF(ISERROR(FIND("[",$B112,1)),"[",""), $B112, IF(ISERROR(FIND("]",$B112,1)),"]","")))), " TO ", IF(ISERROR(FIND("[",D$8,1)),"[",""), D$8, IF(ISERROR(FIND("]",D$8,1)),"]",""),";" ))</f>
        <v>GRANT EXECUTE, REFERENCES ON [Utility].[spOLAP_QueryProgramming] TO [R_DemandaDW];</v>
      </c>
    </row>
    <row r="113" spans="1:4" ht="33.75" x14ac:dyDescent="0.2">
      <c r="A113" s="74" t="s">
        <v>144</v>
      </c>
      <c r="B113" s="74" t="s">
        <v>226</v>
      </c>
      <c r="C113" s="75" t="s">
        <v>170</v>
      </c>
      <c r="D113" s="76" t="str">
        <f>IF(OR($A113="", C113=""), "", CONCATENATE("GRANT ", IF(NOT(ISERROR(FIND("H",C113,1))), CONCATENATE("EXECUTE ON XML SCHEMA COLLECTION::",IF(ISERROR(FIND("[",$A113,1)),"[",""), $A113, IF(ISERROR(FIND("]",$A113,1)),"]",""), ".", IF(ISERROR(FIND("[",$B113,1)),"[",""), $B113, IF(ISERROR(FIND("]",$B113,1)),"]","")),IF(NOT(ISERROR(FIND("N",C113,1))), CONCATENATE("SEND ON SERVICE::",IF(ISERROR(FIND("[",$B113,1)),"[",""), $B113, IF(ISERROR(FIND("]",$B113,1)),"]","")),CONCATENATE(LEFT(CONCATENATE(IF(ISERROR(FIND("V",C113,1)),"","RECEIVE, "), IF(ISERROR(FIND("C",C113,1)),"","INSERT, "),IF(ISERROR(FIND("R",C113,1)),"","SELECT, "), IF(ISERROR(FIND("U",C113,1)),"","UPDATE, "),IF(ISERROR(FIND("D",C113,1)),"","DELETE, "), IF(ISERROR(FIND("X",C113,1)),"","EXECUTE, "), IF(ISERROR(FIND("F",C113,1)),"","REFERENCES")),IF(ISERROR(FIND("F",C113,1)), LEN(CONCATENATE(IF(ISERROR(FIND("V",C113,1)),"","RECEIVE, "), IF(ISERROR(FIND("C",C113,1)),"","INSERT, "),IF(ISERROR(FIND("R",C113,1)),"","SELECT, "), IF(ISERROR(FIND("U",C113,1)),"","UPDATE, "),IF(ISERROR(FIND("D",C113,1)),"","DELETE, "), IF(ISERROR(FIND("X",C113,1)),"","EXECUTE, ")))-2,LEN(CONCATENATE(IF(ISERROR(FIND("V",C113,1)),"","RECEIVE, "), IF(ISERROR(FIND("C",C113,1)),"","INSERT, "),IF(ISERROR(FIND("R",C113,1)),"","SELECT, "), IF(ISERROR(FIND("U",C113,1)),"","UPDATE, "),IF(ISERROR(FIND("D",C113,1)),"","DELETE, "), IF(ISERROR(FIND("X",C113,1)),"","EXECUTE, "),IF(ISERROR(FIND("F",C113,1)),"","REFERENCES"))))), " ON ",IF(ISERROR(FIND("[",$A113,1)),"[",""), $A113, IF(ISERROR(FIND("]",$A113,1)),"]",""), ".", IF(ISERROR(FIND("[",$B113,1)),"[",""), $B113, IF(ISERROR(FIND("]",$B113,1)),"]","")))), " TO ", IF(ISERROR(FIND("[",D$8,1)),"[",""), D$8, IF(ISERROR(FIND("]",D$8,1)),"]",""),";" ))</f>
        <v>GRANT EXECUTE, REFERENCES ON [Utility].[spOLAP_ScriptXMLAParttition] TO [R_DemandaDW];</v>
      </c>
    </row>
    <row r="114" spans="1:4" ht="33.75" x14ac:dyDescent="0.2">
      <c r="A114" s="74" t="s">
        <v>144</v>
      </c>
      <c r="B114" s="74" t="s">
        <v>227</v>
      </c>
      <c r="C114" s="75" t="s">
        <v>170</v>
      </c>
      <c r="D114" s="76" t="str">
        <f>IF(OR($A114="", C114=""), "", CONCATENATE("GRANT ", IF(NOT(ISERROR(FIND("H",C114,1))), CONCATENATE("EXECUTE ON XML SCHEMA COLLECTION::",IF(ISERROR(FIND("[",$A114,1)),"[",""), $A114, IF(ISERROR(FIND("]",$A114,1)),"]",""), ".", IF(ISERROR(FIND("[",$B114,1)),"[",""), $B114, IF(ISERROR(FIND("]",$B114,1)),"]","")),IF(NOT(ISERROR(FIND("N",C114,1))), CONCATENATE("SEND ON SERVICE::",IF(ISERROR(FIND("[",$B114,1)),"[",""), $B114, IF(ISERROR(FIND("]",$B114,1)),"]","")),CONCATENATE(LEFT(CONCATENATE(IF(ISERROR(FIND("V",C114,1)),"","RECEIVE, "), IF(ISERROR(FIND("C",C114,1)),"","INSERT, "),IF(ISERROR(FIND("R",C114,1)),"","SELECT, "), IF(ISERROR(FIND("U",C114,1)),"","UPDATE, "),IF(ISERROR(FIND("D",C114,1)),"","DELETE, "), IF(ISERROR(FIND("X",C114,1)),"","EXECUTE, "), IF(ISERROR(FIND("F",C114,1)),"","REFERENCES")),IF(ISERROR(FIND("F",C114,1)), LEN(CONCATENATE(IF(ISERROR(FIND("V",C114,1)),"","RECEIVE, "), IF(ISERROR(FIND("C",C114,1)),"","INSERT, "),IF(ISERROR(FIND("R",C114,1)),"","SELECT, "), IF(ISERROR(FIND("U",C114,1)),"","UPDATE, "),IF(ISERROR(FIND("D",C114,1)),"","DELETE, "), IF(ISERROR(FIND("X",C114,1)),"","EXECUTE, ")))-2,LEN(CONCATENATE(IF(ISERROR(FIND("V",C114,1)),"","RECEIVE, "), IF(ISERROR(FIND("C",C114,1)),"","INSERT, "),IF(ISERROR(FIND("R",C114,1)),"","SELECT, "), IF(ISERROR(FIND("U",C114,1)),"","UPDATE, "),IF(ISERROR(FIND("D",C114,1)),"","DELETE, "), IF(ISERROR(FIND("X",C114,1)),"","EXECUTE, "),IF(ISERROR(FIND("F",C114,1)),"","REFERENCES"))))), " ON ",IF(ISERROR(FIND("[",$A114,1)),"[",""), $A114, IF(ISERROR(FIND("]",$A114,1)),"]",""), ".", IF(ISERROR(FIND("[",$B114,1)),"[",""), $B114, IF(ISERROR(FIND("]",$B114,1)),"]","")))), " TO ", IF(ISERROR(FIND("[",D$8,1)),"[",""), D$8, IF(ISERROR(FIND("]",D$8,1)),"]",""),";" ))</f>
        <v>GRANT EXECUTE, REFERENCES ON [Utility].[spOLAP_UpdatePartitionToCreated] TO [R_DemandaDW];</v>
      </c>
    </row>
    <row r="115" spans="1:4" ht="33.75" x14ac:dyDescent="0.2">
      <c r="A115" s="74" t="s">
        <v>144</v>
      </c>
      <c r="B115" s="74" t="s">
        <v>228</v>
      </c>
      <c r="C115" s="75" t="s">
        <v>170</v>
      </c>
      <c r="D115" s="76" t="str">
        <f>IF(OR($A115="", C115=""), "", CONCATENATE("GRANT ", IF(NOT(ISERROR(FIND("H",C115,1))), CONCATENATE("EXECUTE ON XML SCHEMA COLLECTION::",IF(ISERROR(FIND("[",$A115,1)),"[",""), $A115, IF(ISERROR(FIND("]",$A115,1)),"]",""), ".", IF(ISERROR(FIND("[",$B115,1)),"[",""), $B115, IF(ISERROR(FIND("]",$B115,1)),"]","")),IF(NOT(ISERROR(FIND("N",C115,1))), CONCATENATE("SEND ON SERVICE::",IF(ISERROR(FIND("[",$B115,1)),"[",""), $B115, IF(ISERROR(FIND("]",$B115,1)),"]","")),CONCATENATE(LEFT(CONCATENATE(IF(ISERROR(FIND("V",C115,1)),"","RECEIVE, "), IF(ISERROR(FIND("C",C115,1)),"","INSERT, "),IF(ISERROR(FIND("R",C115,1)),"","SELECT, "), IF(ISERROR(FIND("U",C115,1)),"","UPDATE, "),IF(ISERROR(FIND("D",C115,1)),"","DELETE, "), IF(ISERROR(FIND("X",C115,1)),"","EXECUTE, "), IF(ISERROR(FIND("F",C115,1)),"","REFERENCES")),IF(ISERROR(FIND("F",C115,1)), LEN(CONCATENATE(IF(ISERROR(FIND("V",C115,1)),"","RECEIVE, "), IF(ISERROR(FIND("C",C115,1)),"","INSERT, "),IF(ISERROR(FIND("R",C115,1)),"","SELECT, "), IF(ISERROR(FIND("U",C115,1)),"","UPDATE, "),IF(ISERROR(FIND("D",C115,1)),"","DELETE, "), IF(ISERROR(FIND("X",C115,1)),"","EXECUTE, ")))-2,LEN(CONCATENATE(IF(ISERROR(FIND("V",C115,1)),"","RECEIVE, "), IF(ISERROR(FIND("C",C115,1)),"","INSERT, "),IF(ISERROR(FIND("R",C115,1)),"","SELECT, "), IF(ISERROR(FIND("U",C115,1)),"","UPDATE, "),IF(ISERROR(FIND("D",C115,1)),"","DELETE, "), IF(ISERROR(FIND("X",C115,1)),"","EXECUTE, "),IF(ISERROR(FIND("F",C115,1)),"","REFERENCES"))))), " ON ",IF(ISERROR(FIND("[",$A115,1)),"[",""), $A115, IF(ISERROR(FIND("]",$A115,1)),"]",""), ".", IF(ISERROR(FIND("[",$B115,1)),"[",""), $B115, IF(ISERROR(FIND("]",$B115,1)),"]","")))), " TO ", IF(ISERROR(FIND("[",D$8,1)),"[",""), D$8, IF(ISERROR(FIND("]",D$8,1)),"]",""),";" ))</f>
        <v>GRANT EXECUTE, REFERENCES ON [Utility].[spOLAP_UpdatePartitionToProsessed] TO [R_DemandaDW];</v>
      </c>
    </row>
    <row r="116" spans="1:4" ht="22.5" x14ac:dyDescent="0.2">
      <c r="A116" s="74" t="s">
        <v>144</v>
      </c>
      <c r="B116" s="74" t="s">
        <v>229</v>
      </c>
      <c r="C116" s="75" t="s">
        <v>170</v>
      </c>
      <c r="D116" s="76" t="str">
        <f>IF(OR($A116="", C116=""), "", CONCATENATE("GRANT ", IF(NOT(ISERROR(FIND("H",C116,1))), CONCATENATE("EXECUTE ON XML SCHEMA COLLECTION::",IF(ISERROR(FIND("[",$A116,1)),"[",""), $A116, IF(ISERROR(FIND("]",$A116,1)),"]",""), ".", IF(ISERROR(FIND("[",$B116,1)),"[",""), $B116, IF(ISERROR(FIND("]",$B116,1)),"]","")),IF(NOT(ISERROR(FIND("N",C116,1))), CONCATENATE("SEND ON SERVICE::",IF(ISERROR(FIND("[",$B116,1)),"[",""), $B116, IF(ISERROR(FIND("]",$B116,1)),"]","")),CONCATENATE(LEFT(CONCATENATE(IF(ISERROR(FIND("V",C116,1)),"","RECEIVE, "), IF(ISERROR(FIND("C",C116,1)),"","INSERT, "),IF(ISERROR(FIND("R",C116,1)),"","SELECT, "), IF(ISERROR(FIND("U",C116,1)),"","UPDATE, "),IF(ISERROR(FIND("D",C116,1)),"","DELETE, "), IF(ISERROR(FIND("X",C116,1)),"","EXECUTE, "), IF(ISERROR(FIND("F",C116,1)),"","REFERENCES")),IF(ISERROR(FIND("F",C116,1)), LEN(CONCATENATE(IF(ISERROR(FIND("V",C116,1)),"","RECEIVE, "), IF(ISERROR(FIND("C",C116,1)),"","INSERT, "),IF(ISERROR(FIND("R",C116,1)),"","SELECT, "), IF(ISERROR(FIND("U",C116,1)),"","UPDATE, "),IF(ISERROR(FIND("D",C116,1)),"","DELETE, "), IF(ISERROR(FIND("X",C116,1)),"","EXECUTE, ")))-2,LEN(CONCATENATE(IF(ISERROR(FIND("V",C116,1)),"","RECEIVE, "), IF(ISERROR(FIND("C",C116,1)),"","INSERT, "),IF(ISERROR(FIND("R",C116,1)),"","SELECT, "), IF(ISERROR(FIND("U",C116,1)),"","UPDATE, "),IF(ISERROR(FIND("D",C116,1)),"","DELETE, "), IF(ISERROR(FIND("X",C116,1)),"","EXECUTE, "),IF(ISERROR(FIND("F",C116,1)),"","REFERENCES"))))), " ON ",IF(ISERROR(FIND("[",$A116,1)),"[",""), $A116, IF(ISERROR(FIND("]",$A116,1)),"]",""), ".", IF(ISERROR(FIND("[",$B116,1)),"[",""), $B116, IF(ISERROR(FIND("]",$B116,1)),"]","")))), " TO ", IF(ISERROR(FIND("[",D$8,1)),"[",""), D$8, IF(ISERROR(FIND("]",D$8,1)),"]",""),";" ))</f>
        <v>GRANT EXECUTE, REFERENCES ON [Utility].[spSubscription] TO [R_DemandaDW];</v>
      </c>
    </row>
    <row r="117" spans="1:4" x14ac:dyDescent="0.2">
      <c r="A117" s="74" t="s">
        <v>165</v>
      </c>
      <c r="B117" s="74" t="s">
        <v>165</v>
      </c>
      <c r="C117" s="75" t="s">
        <v>170</v>
      </c>
      <c r="D117" s="76" t="str">
        <f>IF(OR($A117="", C117=""), "", CONCATENATE("GRANT ", IF(NOT(ISERROR(FIND("H",C117,1))), CONCATENATE("EXECUTE ON XML SCHEMA COLLECTION::",IF(ISERROR(FIND("[",$A117,1)),"[",""), $A117, IF(ISERROR(FIND("]",$A117,1)),"]",""), ".", IF(ISERROR(FIND("[",$B117,1)),"[",""), $B117, IF(ISERROR(FIND("]",$B117,1)),"]","")),IF(NOT(ISERROR(FIND("N",C117,1))), CONCATENATE("SEND ON SERVICE::",IF(ISERROR(FIND("[",$B117,1)),"[",""), $B117, IF(ISERROR(FIND("]",$B117,1)),"]","")),CONCATENATE(LEFT(CONCATENATE(IF(ISERROR(FIND("V",C117,1)),"","RECEIVE, "), IF(ISERROR(FIND("C",C117,1)),"","INSERT, "),IF(ISERROR(FIND("R",C117,1)),"","SELECT, "), IF(ISERROR(FIND("U",C117,1)),"","UPDATE, "),IF(ISERROR(FIND("D",C117,1)),"","DELETE, "), IF(ISERROR(FIND("X",C117,1)),"","EXECUTE, "), IF(ISERROR(FIND("F",C117,1)),"","REFERENCES")),IF(ISERROR(FIND("F",C117,1)), LEN(CONCATENATE(IF(ISERROR(FIND("V",C117,1)),"","RECEIVE, "), IF(ISERROR(FIND("C",C117,1)),"","INSERT, "),IF(ISERROR(FIND("R",C117,1)),"","SELECT, "), IF(ISERROR(FIND("U",C117,1)),"","UPDATE, "),IF(ISERROR(FIND("D",C117,1)),"","DELETE, "), IF(ISERROR(FIND("X",C117,1)),"","EXECUTE, ")))-2,LEN(CONCATENATE(IF(ISERROR(FIND("V",C117,1)),"","RECEIVE, "), IF(ISERROR(FIND("C",C117,1)),"","INSERT, "),IF(ISERROR(FIND("R",C117,1)),"","SELECT, "), IF(ISERROR(FIND("U",C117,1)),"","UPDATE, "),IF(ISERROR(FIND("D",C117,1)),"","DELETE, "), IF(ISERROR(FIND("X",C117,1)),"","EXECUTE, "),IF(ISERROR(FIND("F",C117,1)),"","REFERENCES"))))), " ON ",IF(ISERROR(FIND("[",$A117,1)),"[",""), $A117, IF(ISERROR(FIND("]",$A117,1)),"]",""), ".", IF(ISERROR(FIND("[",$B117,1)),"[",""), $B117, IF(ISERROR(FIND("]",$B117,1)),"]","")))), " TO ", IF(ISERROR(FIND("[",D$8,1)),"[",""), D$8, IF(ISERROR(FIND("]",D$8,1)),"]",""),";" ))</f>
        <v/>
      </c>
    </row>
    <row r="118" spans="1:4" x14ac:dyDescent="0.2">
      <c r="A118" s="74" t="s">
        <v>165</v>
      </c>
      <c r="B118" s="74" t="s">
        <v>165</v>
      </c>
      <c r="C118" s="75" t="s">
        <v>170</v>
      </c>
      <c r="D118" s="76" t="str">
        <f>IF(OR($A118="", C118=""), "", CONCATENATE("GRANT ", IF(NOT(ISERROR(FIND("H",C118,1))), CONCATENATE("EXECUTE ON XML SCHEMA COLLECTION::",IF(ISERROR(FIND("[",$A118,1)),"[",""), $A118, IF(ISERROR(FIND("]",$A118,1)),"]",""), ".", IF(ISERROR(FIND("[",$B118,1)),"[",""), $B118, IF(ISERROR(FIND("]",$B118,1)),"]","")),IF(NOT(ISERROR(FIND("N",C118,1))), CONCATENATE("SEND ON SERVICE::",IF(ISERROR(FIND("[",$B118,1)),"[",""), $B118, IF(ISERROR(FIND("]",$B118,1)),"]","")),CONCATENATE(LEFT(CONCATENATE(IF(ISERROR(FIND("V",C118,1)),"","RECEIVE, "), IF(ISERROR(FIND("C",C118,1)),"","INSERT, "),IF(ISERROR(FIND("R",C118,1)),"","SELECT, "), IF(ISERROR(FIND("U",C118,1)),"","UPDATE, "),IF(ISERROR(FIND("D",C118,1)),"","DELETE, "), IF(ISERROR(FIND("X",C118,1)),"","EXECUTE, "), IF(ISERROR(FIND("F",C118,1)),"","REFERENCES")),IF(ISERROR(FIND("F",C118,1)), LEN(CONCATENATE(IF(ISERROR(FIND("V",C118,1)),"","RECEIVE, "), IF(ISERROR(FIND("C",C118,1)),"","INSERT, "),IF(ISERROR(FIND("R",C118,1)),"","SELECT, "), IF(ISERROR(FIND("U",C118,1)),"","UPDATE, "),IF(ISERROR(FIND("D",C118,1)),"","DELETE, "), IF(ISERROR(FIND("X",C118,1)),"","EXECUTE, ")))-2,LEN(CONCATENATE(IF(ISERROR(FIND("V",C118,1)),"","RECEIVE, "), IF(ISERROR(FIND("C",C118,1)),"","INSERT, "),IF(ISERROR(FIND("R",C118,1)),"","SELECT, "), IF(ISERROR(FIND("U",C118,1)),"","UPDATE, "),IF(ISERROR(FIND("D",C118,1)),"","DELETE, "), IF(ISERROR(FIND("X",C118,1)),"","EXECUTE, "),IF(ISERROR(FIND("F",C118,1)),"","REFERENCES"))))), " ON ",IF(ISERROR(FIND("[",$A118,1)),"[",""), $A118, IF(ISERROR(FIND("]",$A118,1)),"]",""), ".", IF(ISERROR(FIND("[",$B118,1)),"[",""), $B118, IF(ISERROR(FIND("]",$B118,1)),"]","")))), " TO ", IF(ISERROR(FIND("[",D$8,1)),"[",""), D$8, IF(ISERROR(FIND("]",D$8,1)),"]",""),";" ))</f>
        <v/>
      </c>
    </row>
    <row r="119" spans="1:4" x14ac:dyDescent="0.2">
      <c r="A119" s="69" t="s">
        <v>230</v>
      </c>
      <c r="B119" s="70"/>
      <c r="C119" s="70"/>
      <c r="D119" s="70"/>
    </row>
    <row r="120" spans="1:4" ht="22.5" x14ac:dyDescent="0.2">
      <c r="A120" s="71" t="s">
        <v>119</v>
      </c>
      <c r="B120" s="71" t="s">
        <v>231</v>
      </c>
      <c r="C120" s="72" t="s">
        <v>170</v>
      </c>
      <c r="D120" s="73" t="str">
        <f>IF(OR($A120="", C120=""), "", CONCATENATE("GRANT ", IF(NOT(ISERROR(FIND("H",C120,1))), CONCATENATE("EXECUTE ON XML SCHEMA COLLECTION::",IF(ISERROR(FIND("[",$A120,1)),"[",""), $A120, IF(ISERROR(FIND("]",$A120,1)),"]",""), ".", IF(ISERROR(FIND("[",$B120,1)),"[",""), $B120, IF(ISERROR(FIND("]",$B120,1)),"]","")),IF(NOT(ISERROR(FIND("N",C120,1))), CONCATENATE("SEND ON SERVICE::",IF(ISERROR(FIND("[",$B120,1)),"[",""), $B120, IF(ISERROR(FIND("]",$B120,1)),"]","")),CONCATENATE(LEFT(CONCATENATE(IF(ISERROR(FIND("V",C120,1)),"","RECEIVE, "), IF(ISERROR(FIND("C",C120,1)),"","INSERT, "),IF(ISERROR(FIND("R",C120,1)),"","SELECT, "), IF(ISERROR(FIND("U",C120,1)),"","UPDATE, "),IF(ISERROR(FIND("D",C120,1)),"","DELETE, "), IF(ISERROR(FIND("X",C120,1)),"","EXECUTE, "), IF(ISERROR(FIND("F",C120,1)),"","REFERENCES")),IF(ISERROR(FIND("F",C120,1)), LEN(CONCATENATE(IF(ISERROR(FIND("V",C120,1)),"","RECEIVE, "), IF(ISERROR(FIND("C",C120,1)),"","INSERT, "),IF(ISERROR(FIND("R",C120,1)),"","SELECT, "), IF(ISERROR(FIND("U",C120,1)),"","UPDATE, "),IF(ISERROR(FIND("D",C120,1)),"","DELETE, "), IF(ISERROR(FIND("X",C120,1)),"","EXECUTE, ")))-2,LEN(CONCATENATE(IF(ISERROR(FIND("V",C120,1)),"","RECEIVE, "), IF(ISERROR(FIND("C",C120,1)),"","INSERT, "),IF(ISERROR(FIND("R",C120,1)),"","SELECT, "), IF(ISERROR(FIND("U",C120,1)),"","UPDATE, "),IF(ISERROR(FIND("D",C120,1)),"","DELETE, "), IF(ISERROR(FIND("X",C120,1)),"","EXECUTE, "),IF(ISERROR(FIND("F",C120,1)),"","REFERENCES"))))), " ON ",IF(ISERROR(FIND("[",$A120,1)),"[",""), $A120, IF(ISERROR(FIND("]",$A120,1)),"]",""), ".", IF(ISERROR(FIND("[",$B120,1)),"[",""), $B120, IF(ISERROR(FIND("]",$B120,1)),"]","")))), " TO ", IF(ISERROR(FIND("[",D$8,1)),"[",""), D$8, IF(ISERROR(FIND("]",D$8,1)),"]",""),";" ))</f>
        <v>GRANT EXECUTE, REFERENCES ON [Audit].[GetBitacoraRoot] TO [R_DemandaDW];</v>
      </c>
    </row>
    <row r="121" spans="1:4" ht="22.5" x14ac:dyDescent="0.2">
      <c r="A121" s="71" t="s">
        <v>144</v>
      </c>
      <c r="B121" s="71" t="s">
        <v>232</v>
      </c>
      <c r="C121" s="72" t="s">
        <v>170</v>
      </c>
      <c r="D121" s="73" t="str">
        <f>IF(OR($A121="", C121=""), "", CONCATENATE("GRANT ", IF(NOT(ISERROR(FIND("H",C121,1))), CONCATENATE("EXECUTE ON XML SCHEMA COLLECTION::",IF(ISERROR(FIND("[",$A121,1)),"[",""), $A121, IF(ISERROR(FIND("]",$A121,1)),"]",""), ".", IF(ISERROR(FIND("[",$B121,1)),"[",""), $B121, IF(ISERROR(FIND("]",$B121,1)),"]","")),IF(NOT(ISERROR(FIND("N",C121,1))), CONCATENATE("SEND ON SERVICE::",IF(ISERROR(FIND("[",$B121,1)),"[",""), $B121, IF(ISERROR(FIND("]",$B121,1)),"]","")),CONCATENATE(LEFT(CONCATENATE(IF(ISERROR(FIND("V",C121,1)),"","RECEIVE, "), IF(ISERROR(FIND("C",C121,1)),"","INSERT, "),IF(ISERROR(FIND("R",C121,1)),"","SELECT, "), IF(ISERROR(FIND("U",C121,1)),"","UPDATE, "),IF(ISERROR(FIND("D",C121,1)),"","DELETE, "), IF(ISERROR(FIND("X",C121,1)),"","EXECUTE, "), IF(ISERROR(FIND("F",C121,1)),"","REFERENCES")),IF(ISERROR(FIND("F",C121,1)), LEN(CONCATENATE(IF(ISERROR(FIND("V",C121,1)),"","RECEIVE, "), IF(ISERROR(FIND("C",C121,1)),"","INSERT, "),IF(ISERROR(FIND("R",C121,1)),"","SELECT, "), IF(ISERROR(FIND("U",C121,1)),"","UPDATE, "),IF(ISERROR(FIND("D",C121,1)),"","DELETE, "), IF(ISERROR(FIND("X",C121,1)),"","EXECUTE, ")))-2,LEN(CONCATENATE(IF(ISERROR(FIND("V",C121,1)),"","RECEIVE, "), IF(ISERROR(FIND("C",C121,1)),"","INSERT, "),IF(ISERROR(FIND("R",C121,1)),"","SELECT, "), IF(ISERROR(FIND("U",C121,1)),"","UPDATE, "),IF(ISERROR(FIND("D",C121,1)),"","DELETE, "), IF(ISERROR(FIND("X",C121,1)),"","EXECUTE, "),IF(ISERROR(FIND("F",C121,1)),"","REFERENCES"))))), " ON ",IF(ISERROR(FIND("[",$A121,1)),"[",""), $A121, IF(ISERROR(FIND("]",$A121,1)),"]",""), ".", IF(ISERROR(FIND("[",$B121,1)),"[",""), $B121, IF(ISERROR(FIND("]",$B121,1)),"]","")))), " TO ", IF(ISERROR(FIND("[",D$8,1)),"[",""), D$8, IF(ISERROR(FIND("]",D$8,1)),"]",""),";" ))</f>
        <v>GRANT EXECUTE, REFERENCES ON [Utility].[ConvertUTF8Ansi] TO [R_DemandaDW];</v>
      </c>
    </row>
    <row r="122" spans="1:4" ht="22.5" x14ac:dyDescent="0.2">
      <c r="A122" s="71" t="s">
        <v>144</v>
      </c>
      <c r="B122" s="71" t="s">
        <v>233</v>
      </c>
      <c r="C122" s="72" t="s">
        <v>170</v>
      </c>
      <c r="D122" s="73" t="str">
        <f>IF(OR($A122="", C122=""), "", CONCATENATE("GRANT ", IF(NOT(ISERROR(FIND("H",C122,1))), CONCATENATE("EXECUTE ON XML SCHEMA COLLECTION::",IF(ISERROR(FIND("[",$A122,1)),"[",""), $A122, IF(ISERROR(FIND("]",$A122,1)),"]",""), ".", IF(ISERROR(FIND("[",$B122,1)),"[",""), $B122, IF(ISERROR(FIND("]",$B122,1)),"]","")),IF(NOT(ISERROR(FIND("N",C122,1))), CONCATENATE("SEND ON SERVICE::",IF(ISERROR(FIND("[",$B122,1)),"[",""), $B122, IF(ISERROR(FIND("]",$B122,1)),"]","")),CONCATENATE(LEFT(CONCATENATE(IF(ISERROR(FIND("V",C122,1)),"","RECEIVE, "), IF(ISERROR(FIND("C",C122,1)),"","INSERT, "),IF(ISERROR(FIND("R",C122,1)),"","SELECT, "), IF(ISERROR(FIND("U",C122,1)),"","UPDATE, "),IF(ISERROR(FIND("D",C122,1)),"","DELETE, "), IF(ISERROR(FIND("X",C122,1)),"","EXECUTE, "), IF(ISERROR(FIND("F",C122,1)),"","REFERENCES")),IF(ISERROR(FIND("F",C122,1)), LEN(CONCATENATE(IF(ISERROR(FIND("V",C122,1)),"","RECEIVE, "), IF(ISERROR(FIND("C",C122,1)),"","INSERT, "),IF(ISERROR(FIND("R",C122,1)),"","SELECT, "), IF(ISERROR(FIND("U",C122,1)),"","UPDATE, "),IF(ISERROR(FIND("D",C122,1)),"","DELETE, "), IF(ISERROR(FIND("X",C122,1)),"","EXECUTE, ")))-2,LEN(CONCATENATE(IF(ISERROR(FIND("V",C122,1)),"","RECEIVE, "), IF(ISERROR(FIND("C",C122,1)),"","INSERT, "),IF(ISERROR(FIND("R",C122,1)),"","SELECT, "), IF(ISERROR(FIND("U",C122,1)),"","UPDATE, "),IF(ISERROR(FIND("D",C122,1)),"","DELETE, "), IF(ISERROR(FIND("X",C122,1)),"","EXECUTE, "),IF(ISERROR(FIND("F",C122,1)),"","REFERENCES"))))), " ON ",IF(ISERROR(FIND("[",$A122,1)),"[",""), $A122, IF(ISERROR(FIND("]",$A122,1)),"]",""), ".", IF(ISERROR(FIND("[",$B122,1)),"[",""), $B122, IF(ISERROR(FIND("]",$B122,1)),"]","")))), " TO ", IF(ISERROR(FIND("[",D$8,1)),"[",""), D$8, IF(ISERROR(FIND("]",D$8,1)),"]",""),";" ))</f>
        <v>GRANT EXECUTE, REFERENCES ON [Utility].[ConvertUTF8String] TO [R_DemandaDW];</v>
      </c>
    </row>
    <row r="123" spans="1:4" ht="22.5" x14ac:dyDescent="0.2">
      <c r="A123" s="71" t="s">
        <v>144</v>
      </c>
      <c r="B123" s="71" t="s">
        <v>234</v>
      </c>
      <c r="C123" s="72" t="s">
        <v>170</v>
      </c>
      <c r="D123" s="73" t="str">
        <f>IF(OR($A123="", C123=""), "", CONCATENATE("GRANT ", IF(NOT(ISERROR(FIND("H",C123,1))), CONCATENATE("EXECUTE ON XML SCHEMA COLLECTION::",IF(ISERROR(FIND("[",$A123,1)),"[",""), $A123, IF(ISERROR(FIND("]",$A123,1)),"]",""), ".", IF(ISERROR(FIND("[",$B123,1)),"[",""), $B123, IF(ISERROR(FIND("]",$B123,1)),"]","")),IF(NOT(ISERROR(FIND("N",C123,1))), CONCATENATE("SEND ON SERVICE::",IF(ISERROR(FIND("[",$B123,1)),"[",""), $B123, IF(ISERROR(FIND("]",$B123,1)),"]","")),CONCATENATE(LEFT(CONCATENATE(IF(ISERROR(FIND("V",C123,1)),"","RECEIVE, "), IF(ISERROR(FIND("C",C123,1)),"","INSERT, "),IF(ISERROR(FIND("R",C123,1)),"","SELECT, "), IF(ISERROR(FIND("U",C123,1)),"","UPDATE, "),IF(ISERROR(FIND("D",C123,1)),"","DELETE, "), IF(ISERROR(FIND("X",C123,1)),"","EXECUTE, "), IF(ISERROR(FIND("F",C123,1)),"","REFERENCES")),IF(ISERROR(FIND("F",C123,1)), LEN(CONCATENATE(IF(ISERROR(FIND("V",C123,1)),"","RECEIVE, "), IF(ISERROR(FIND("C",C123,1)),"","INSERT, "),IF(ISERROR(FIND("R",C123,1)),"","SELECT, "), IF(ISERROR(FIND("U",C123,1)),"","UPDATE, "),IF(ISERROR(FIND("D",C123,1)),"","DELETE, "), IF(ISERROR(FIND("X",C123,1)),"","EXECUTE, ")))-2,LEN(CONCATENATE(IF(ISERROR(FIND("V",C123,1)),"","RECEIVE, "), IF(ISERROR(FIND("C",C123,1)),"","INSERT, "),IF(ISERROR(FIND("R",C123,1)),"","SELECT, "), IF(ISERROR(FIND("U",C123,1)),"","UPDATE, "),IF(ISERROR(FIND("D",C123,1)),"","DELETE, "), IF(ISERROR(FIND("X",C123,1)),"","EXECUTE, "),IF(ISERROR(FIND("F",C123,1)),"","REFERENCES"))))), " ON ",IF(ISERROR(FIND("[",$A123,1)),"[",""), $A123, IF(ISERROR(FIND("]",$A123,1)),"]",""), ".", IF(ISERROR(FIND("[",$B123,1)),"[",""), $B123, IF(ISERROR(FIND("]",$B123,1)),"]","")))), " TO ", IF(ISERROR(FIND("[",D$8,1)),"[",""), D$8, IF(ISERROR(FIND("]",D$8,1)),"]",""),";" ))</f>
        <v>GRANT EXECUTE, REFERENCES ON [Utility].[DateAddPeriod] TO [R_DemandaDW];</v>
      </c>
    </row>
    <row r="124" spans="1:4" ht="33.75" x14ac:dyDescent="0.2">
      <c r="A124" s="71" t="s">
        <v>144</v>
      </c>
      <c r="B124" s="71" t="s">
        <v>235</v>
      </c>
      <c r="C124" s="72" t="s">
        <v>170</v>
      </c>
      <c r="D124" s="73" t="str">
        <f>IF(OR($A124="", C124=""), "", CONCATENATE("GRANT ", IF(NOT(ISERROR(FIND("H",C124,1))), CONCATENATE("EXECUTE ON XML SCHEMA COLLECTION::",IF(ISERROR(FIND("[",$A124,1)),"[",""), $A124, IF(ISERROR(FIND("]",$A124,1)),"]",""), ".", IF(ISERROR(FIND("[",$B124,1)),"[",""), $B124, IF(ISERROR(FIND("]",$B124,1)),"]","")),IF(NOT(ISERROR(FIND("N",C124,1))), CONCATENATE("SEND ON SERVICE::",IF(ISERROR(FIND("[",$B124,1)),"[",""), $B124, IF(ISERROR(FIND("]",$B124,1)),"]","")),CONCATENATE(LEFT(CONCATENATE(IF(ISERROR(FIND("V",C124,1)),"","RECEIVE, "), IF(ISERROR(FIND("C",C124,1)),"","INSERT, "),IF(ISERROR(FIND("R",C124,1)),"","SELECT, "), IF(ISERROR(FIND("U",C124,1)),"","UPDATE, "),IF(ISERROR(FIND("D",C124,1)),"","DELETE, "), IF(ISERROR(FIND("X",C124,1)),"","EXECUTE, "), IF(ISERROR(FIND("F",C124,1)),"","REFERENCES")),IF(ISERROR(FIND("F",C124,1)), LEN(CONCATENATE(IF(ISERROR(FIND("V",C124,1)),"","RECEIVE, "), IF(ISERROR(FIND("C",C124,1)),"","INSERT, "),IF(ISERROR(FIND("R",C124,1)),"","SELECT, "), IF(ISERROR(FIND("U",C124,1)),"","UPDATE, "),IF(ISERROR(FIND("D",C124,1)),"","DELETE, "), IF(ISERROR(FIND("X",C124,1)),"","EXECUTE, ")))-2,LEN(CONCATENATE(IF(ISERROR(FIND("V",C124,1)),"","RECEIVE, "), IF(ISERROR(FIND("C",C124,1)),"","INSERT, "),IF(ISERROR(FIND("R",C124,1)),"","SELECT, "), IF(ISERROR(FIND("U",C124,1)),"","UPDATE, "),IF(ISERROR(FIND("D",C124,1)),"","DELETE, "), IF(ISERROR(FIND("X",C124,1)),"","EXECUTE, "),IF(ISERROR(FIND("F",C124,1)),"","REFERENCES"))))), " ON ",IF(ISERROR(FIND("[",$A124,1)),"[",""), $A124, IF(ISERROR(FIND("]",$A124,1)),"]",""), ".", IF(ISERROR(FIND("[",$B124,1)),"[",""), $B124, IF(ISERROR(FIND("]",$B124,1)),"]","")))), " TO ", IF(ISERROR(FIND("[",D$8,1)),"[",""), D$8, IF(ISERROR(FIND("]",D$8,1)),"]",""),";" ))</f>
        <v>GRANT EXECUTE, REFERENCES ON [Utility].[DateCountBusinessDays] TO [R_DemandaDW];</v>
      </c>
    </row>
    <row r="125" spans="1:4" ht="22.5" x14ac:dyDescent="0.2">
      <c r="A125" s="71" t="s">
        <v>144</v>
      </c>
      <c r="B125" s="71" t="s">
        <v>236</v>
      </c>
      <c r="C125" s="72" t="s">
        <v>170</v>
      </c>
      <c r="D125" s="73" t="str">
        <f>IF(OR($A125="", C125=""), "", CONCATENATE("GRANT ", IF(NOT(ISERROR(FIND("H",C125,1))), CONCATENATE("EXECUTE ON XML SCHEMA COLLECTION::",IF(ISERROR(FIND("[",$A125,1)),"[",""), $A125, IF(ISERROR(FIND("]",$A125,1)),"]",""), ".", IF(ISERROR(FIND("[",$B125,1)),"[",""), $B125, IF(ISERROR(FIND("]",$B125,1)),"]","")),IF(NOT(ISERROR(FIND("N",C125,1))), CONCATENATE("SEND ON SERVICE::",IF(ISERROR(FIND("[",$B125,1)),"[",""), $B125, IF(ISERROR(FIND("]",$B125,1)),"]","")),CONCATENATE(LEFT(CONCATENATE(IF(ISERROR(FIND("V",C125,1)),"","RECEIVE, "), IF(ISERROR(FIND("C",C125,1)),"","INSERT, "),IF(ISERROR(FIND("R",C125,1)),"","SELECT, "), IF(ISERROR(FIND("U",C125,1)),"","UPDATE, "),IF(ISERROR(FIND("D",C125,1)),"","DELETE, "), IF(ISERROR(FIND("X",C125,1)),"","EXECUTE, "), IF(ISERROR(FIND("F",C125,1)),"","REFERENCES")),IF(ISERROR(FIND("F",C125,1)), LEN(CONCATENATE(IF(ISERROR(FIND("V",C125,1)),"","RECEIVE, "), IF(ISERROR(FIND("C",C125,1)),"","INSERT, "),IF(ISERROR(FIND("R",C125,1)),"","SELECT, "), IF(ISERROR(FIND("U",C125,1)),"","UPDATE, "),IF(ISERROR(FIND("D",C125,1)),"","DELETE, "), IF(ISERROR(FIND("X",C125,1)),"","EXECUTE, ")))-2,LEN(CONCATENATE(IF(ISERROR(FIND("V",C125,1)),"","RECEIVE, "), IF(ISERROR(FIND("C",C125,1)),"","INSERT, "),IF(ISERROR(FIND("R",C125,1)),"","SELECT, "), IF(ISERROR(FIND("U",C125,1)),"","UPDATE, "),IF(ISERROR(FIND("D",C125,1)),"","DELETE, "), IF(ISERROR(FIND("X",C125,1)),"","EXECUTE, "),IF(ISERROR(FIND("F",C125,1)),"","REFERENCES"))))), " ON ",IF(ISERROR(FIND("[",$A125,1)),"[",""), $A125, IF(ISERROR(FIND("]",$A125,1)),"]",""), ".", IF(ISERROR(FIND("[",$B125,1)),"[",""), $B125, IF(ISERROR(FIND("]",$B125,1)),"]","")))), " TO ", IF(ISERROR(FIND("[",D$8,1)),"[",""), D$8, IF(ISERROR(FIND("]",D$8,1)),"]",""),";" ))</f>
        <v>GRANT EXECUTE, REFERENCES ON [Utility].[DateFormat] TO [R_DemandaDW];</v>
      </c>
    </row>
    <row r="126" spans="1:4" ht="22.5" x14ac:dyDescent="0.2">
      <c r="A126" s="71" t="s">
        <v>144</v>
      </c>
      <c r="B126" s="71" t="s">
        <v>237</v>
      </c>
      <c r="C126" s="72" t="s">
        <v>170</v>
      </c>
      <c r="D126" s="73" t="str">
        <f>IF(OR($A126="", C126=""), "", CONCATENATE("GRANT ", IF(NOT(ISERROR(FIND("H",C126,1))), CONCATENATE("EXECUTE ON XML SCHEMA COLLECTION::",IF(ISERROR(FIND("[",$A126,1)),"[",""), $A126, IF(ISERROR(FIND("]",$A126,1)),"]",""), ".", IF(ISERROR(FIND("[",$B126,1)),"[",""), $B126, IF(ISERROR(FIND("]",$B126,1)),"]","")),IF(NOT(ISERROR(FIND("N",C126,1))), CONCATENATE("SEND ON SERVICE::",IF(ISERROR(FIND("[",$B126,1)),"[",""), $B126, IF(ISERROR(FIND("]",$B126,1)),"]","")),CONCATENATE(LEFT(CONCATENATE(IF(ISERROR(FIND("V",C126,1)),"","RECEIVE, "), IF(ISERROR(FIND("C",C126,1)),"","INSERT, "),IF(ISERROR(FIND("R",C126,1)),"","SELECT, "), IF(ISERROR(FIND("U",C126,1)),"","UPDATE, "),IF(ISERROR(FIND("D",C126,1)),"","DELETE, "), IF(ISERROR(FIND("X",C126,1)),"","EXECUTE, "), IF(ISERROR(FIND("F",C126,1)),"","REFERENCES")),IF(ISERROR(FIND("F",C126,1)), LEN(CONCATENATE(IF(ISERROR(FIND("V",C126,1)),"","RECEIVE, "), IF(ISERROR(FIND("C",C126,1)),"","INSERT, "),IF(ISERROR(FIND("R",C126,1)),"","SELECT, "), IF(ISERROR(FIND("U",C126,1)),"","UPDATE, "),IF(ISERROR(FIND("D",C126,1)),"","DELETE, "), IF(ISERROR(FIND("X",C126,1)),"","EXECUTE, ")))-2,LEN(CONCATENATE(IF(ISERROR(FIND("V",C126,1)),"","RECEIVE, "), IF(ISERROR(FIND("C",C126,1)),"","INSERT, "),IF(ISERROR(FIND("R",C126,1)),"","SELECT, "), IF(ISERROR(FIND("U",C126,1)),"","UPDATE, "),IF(ISERROR(FIND("D",C126,1)),"","DELETE, "), IF(ISERROR(FIND("X",C126,1)),"","EXECUTE, "),IF(ISERROR(FIND("F",C126,1)),"","REFERENCES"))))), " ON ",IF(ISERROR(FIND("[",$A126,1)),"[",""), $A126, IF(ISERROR(FIND("]",$A126,1)),"]",""), ".", IF(ISERROR(FIND("[",$B126,1)),"[",""), $B126, IF(ISERROR(FIND("]",$B126,1)),"]","")))), " TO ", IF(ISERROR(FIND("[",D$8,1)),"[",""), D$8, IF(ISERROR(FIND("]",D$8,1)),"]",""),";" ))</f>
        <v>GRANT EXECUTE, REFERENCES ON [Utility].[fnString_AddPad] TO [R_DemandaDW];</v>
      </c>
    </row>
    <row r="127" spans="1:4" ht="22.5" x14ac:dyDescent="0.2">
      <c r="A127" s="71" t="s">
        <v>144</v>
      </c>
      <c r="B127" s="71" t="s">
        <v>238</v>
      </c>
      <c r="C127" s="72" t="s">
        <v>170</v>
      </c>
      <c r="D127" s="73" t="str">
        <f>IF(OR($A127="", C127=""), "", CONCATENATE("GRANT ", IF(NOT(ISERROR(FIND("H",C127,1))), CONCATENATE("EXECUTE ON XML SCHEMA COLLECTION::",IF(ISERROR(FIND("[",$A127,1)),"[",""), $A127, IF(ISERROR(FIND("]",$A127,1)),"]",""), ".", IF(ISERROR(FIND("[",$B127,1)),"[",""), $B127, IF(ISERROR(FIND("]",$B127,1)),"]","")),IF(NOT(ISERROR(FIND("N",C127,1))), CONCATENATE("SEND ON SERVICE::",IF(ISERROR(FIND("[",$B127,1)),"[",""), $B127, IF(ISERROR(FIND("]",$B127,1)),"]","")),CONCATENATE(LEFT(CONCATENATE(IF(ISERROR(FIND("V",C127,1)),"","RECEIVE, "), IF(ISERROR(FIND("C",C127,1)),"","INSERT, "),IF(ISERROR(FIND("R",C127,1)),"","SELECT, "), IF(ISERROR(FIND("U",C127,1)),"","UPDATE, "),IF(ISERROR(FIND("D",C127,1)),"","DELETE, "), IF(ISERROR(FIND("X",C127,1)),"","EXECUTE, "), IF(ISERROR(FIND("F",C127,1)),"","REFERENCES")),IF(ISERROR(FIND("F",C127,1)), LEN(CONCATENATE(IF(ISERROR(FIND("V",C127,1)),"","RECEIVE, "), IF(ISERROR(FIND("C",C127,1)),"","INSERT, "),IF(ISERROR(FIND("R",C127,1)),"","SELECT, "), IF(ISERROR(FIND("U",C127,1)),"","UPDATE, "),IF(ISERROR(FIND("D",C127,1)),"","DELETE, "), IF(ISERROR(FIND("X",C127,1)),"","EXECUTE, ")))-2,LEN(CONCATENATE(IF(ISERROR(FIND("V",C127,1)),"","RECEIVE, "), IF(ISERROR(FIND("C",C127,1)),"","INSERT, "),IF(ISERROR(FIND("R",C127,1)),"","SELECT, "), IF(ISERROR(FIND("U",C127,1)),"","UPDATE, "),IF(ISERROR(FIND("D",C127,1)),"","DELETE, "), IF(ISERROR(FIND("X",C127,1)),"","EXECUTE, "),IF(ISERROR(FIND("F",C127,1)),"","REFERENCES"))))), " ON ",IF(ISERROR(FIND("[",$A127,1)),"[",""), $A127, IF(ISERROR(FIND("]",$A127,1)),"]",""), ".", IF(ISERROR(FIND("[",$B127,1)),"[",""), $B127, IF(ISERROR(FIND("]",$B127,1)),"]","")))), " TO ", IF(ISERROR(FIND("[",D$8,1)),"[",""), D$8, IF(ISERROR(FIND("]",D$8,1)),"]",""),";" ))</f>
        <v>GRANT EXECUTE, REFERENCES ON [Utility].[GetDataPart_Period] TO [R_DemandaDW];</v>
      </c>
    </row>
    <row r="128" spans="1:4" ht="33.75" x14ac:dyDescent="0.2">
      <c r="A128" s="71" t="s">
        <v>144</v>
      </c>
      <c r="B128" s="71" t="s">
        <v>239</v>
      </c>
      <c r="C128" s="72" t="s">
        <v>170</v>
      </c>
      <c r="D128" s="73" t="str">
        <f>IF(OR($A128="", C128=""), "", CONCATENATE("GRANT ", IF(NOT(ISERROR(FIND("H",C128,1))), CONCATENATE("EXECUTE ON XML SCHEMA COLLECTION::",IF(ISERROR(FIND("[",$A128,1)),"[",""), $A128, IF(ISERROR(FIND("]",$A128,1)),"]",""), ".", IF(ISERROR(FIND("[",$B128,1)),"[",""), $B128, IF(ISERROR(FIND("]",$B128,1)),"]","")),IF(NOT(ISERROR(FIND("N",C128,1))), CONCATENATE("SEND ON SERVICE::",IF(ISERROR(FIND("[",$B128,1)),"[",""), $B128, IF(ISERROR(FIND("]",$B128,1)),"]","")),CONCATENATE(LEFT(CONCATENATE(IF(ISERROR(FIND("V",C128,1)),"","RECEIVE, "), IF(ISERROR(FIND("C",C128,1)),"","INSERT, "),IF(ISERROR(FIND("R",C128,1)),"","SELECT, "), IF(ISERROR(FIND("U",C128,1)),"","UPDATE, "),IF(ISERROR(FIND("D",C128,1)),"","DELETE, "), IF(ISERROR(FIND("X",C128,1)),"","EXECUTE, "), IF(ISERROR(FIND("F",C128,1)),"","REFERENCES")),IF(ISERROR(FIND("F",C128,1)), LEN(CONCATENATE(IF(ISERROR(FIND("V",C128,1)),"","RECEIVE, "), IF(ISERROR(FIND("C",C128,1)),"","INSERT, "),IF(ISERROR(FIND("R",C128,1)),"","SELECT, "), IF(ISERROR(FIND("U",C128,1)),"","UPDATE, "),IF(ISERROR(FIND("D",C128,1)),"","DELETE, "), IF(ISERROR(FIND("X",C128,1)),"","EXECUTE, ")))-2,LEN(CONCATENATE(IF(ISERROR(FIND("V",C128,1)),"","RECEIVE, "), IF(ISERROR(FIND("C",C128,1)),"","INSERT, "),IF(ISERROR(FIND("R",C128,1)),"","SELECT, "), IF(ISERROR(FIND("U",C128,1)),"","UPDATE, "),IF(ISERROR(FIND("D",C128,1)),"","DELETE, "), IF(ISERROR(FIND("X",C128,1)),"","EXECUTE, "),IF(ISERROR(FIND("F",C128,1)),"","REFERENCES"))))), " ON ",IF(ISERROR(FIND("[",$A128,1)),"[",""), $A128, IF(ISERROR(FIND("]",$A128,1)),"]",""), ".", IF(ISERROR(FIND("[",$B128,1)),"[",""), $B128, IF(ISERROR(FIND("]",$B128,1)),"]","")))), " TO ", IF(ISERROR(FIND("[",D$8,1)),"[",""), D$8, IF(ISERROR(FIND("]",D$8,1)),"]",""),";" ))</f>
        <v>GRANT EXECUTE, REFERENCES ON [Utility].[GetDateBusinessDays] TO [R_DemandaDW];</v>
      </c>
    </row>
    <row r="129" spans="1:4" ht="22.5" x14ac:dyDescent="0.2">
      <c r="A129" s="71" t="s">
        <v>144</v>
      </c>
      <c r="B129" s="71" t="s">
        <v>240</v>
      </c>
      <c r="C129" s="72" t="s">
        <v>170</v>
      </c>
      <c r="D129" s="73" t="str">
        <f>IF(OR($A129="", C129=""), "", CONCATENATE("GRANT ", IF(NOT(ISERROR(FIND("H",C129,1))), CONCATENATE("EXECUTE ON XML SCHEMA COLLECTION::",IF(ISERROR(FIND("[",$A129,1)),"[",""), $A129, IF(ISERROR(FIND("]",$A129,1)),"]",""), ".", IF(ISERROR(FIND("[",$B129,1)),"[",""), $B129, IF(ISERROR(FIND("]",$B129,1)),"]","")),IF(NOT(ISERROR(FIND("N",C129,1))), CONCATENATE("SEND ON SERVICE::",IF(ISERROR(FIND("[",$B129,1)),"[",""), $B129, IF(ISERROR(FIND("]",$B129,1)),"]","")),CONCATENATE(LEFT(CONCATENATE(IF(ISERROR(FIND("V",C129,1)),"","RECEIVE, "), IF(ISERROR(FIND("C",C129,1)),"","INSERT, "),IF(ISERROR(FIND("R",C129,1)),"","SELECT, "), IF(ISERROR(FIND("U",C129,1)),"","UPDATE, "),IF(ISERROR(FIND("D",C129,1)),"","DELETE, "), IF(ISERROR(FIND("X",C129,1)),"","EXECUTE, "), IF(ISERROR(FIND("F",C129,1)),"","REFERENCES")),IF(ISERROR(FIND("F",C129,1)), LEN(CONCATENATE(IF(ISERROR(FIND("V",C129,1)),"","RECEIVE, "), IF(ISERROR(FIND("C",C129,1)),"","INSERT, "),IF(ISERROR(FIND("R",C129,1)),"","SELECT, "), IF(ISERROR(FIND("U",C129,1)),"","UPDATE, "),IF(ISERROR(FIND("D",C129,1)),"","DELETE, "), IF(ISERROR(FIND("X",C129,1)),"","EXECUTE, ")))-2,LEN(CONCATENATE(IF(ISERROR(FIND("V",C129,1)),"","RECEIVE, "), IF(ISERROR(FIND("C",C129,1)),"","INSERT, "),IF(ISERROR(FIND("R",C129,1)),"","SELECT, "), IF(ISERROR(FIND("U",C129,1)),"","UPDATE, "),IF(ISERROR(FIND("D",C129,1)),"","DELETE, "), IF(ISERROR(FIND("X",C129,1)),"","EXECUTE, "),IF(ISERROR(FIND("F",C129,1)),"","REFERENCES"))))), " ON ",IF(ISERROR(FIND("[",$A129,1)),"[",""), $A129, IF(ISERROR(FIND("]",$A129,1)),"]",""), ".", IF(ISERROR(FIND("[",$B129,1)),"[",""), $B129, IF(ISERROR(FIND("]",$B129,1)),"]","")))), " TO ", IF(ISERROR(FIND("[",D$8,1)),"[",""), D$8, IF(ISERROR(FIND("]",D$8,1)),"]",""),";" ))</f>
        <v>GRANT EXECUTE, REFERENCES ON [Utility].[GetDateDiff] TO [R_DemandaDW];</v>
      </c>
    </row>
    <row r="130" spans="1:4" ht="33.75" x14ac:dyDescent="0.2">
      <c r="A130" s="71" t="s">
        <v>144</v>
      </c>
      <c r="B130" s="71" t="s">
        <v>241</v>
      </c>
      <c r="C130" s="72" t="s">
        <v>170</v>
      </c>
      <c r="D130" s="73" t="str">
        <f>IF(OR($A130="", C130=""), "", CONCATENATE("GRANT ", IF(NOT(ISERROR(FIND("H",C130,1))), CONCATENATE("EXECUTE ON XML SCHEMA COLLECTION::",IF(ISERROR(FIND("[",$A130,1)),"[",""), $A130, IF(ISERROR(FIND("]",$A130,1)),"]",""), ".", IF(ISERROR(FIND("[",$B130,1)),"[",""), $B130, IF(ISERROR(FIND("]",$B130,1)),"]","")),IF(NOT(ISERROR(FIND("N",C130,1))), CONCATENATE("SEND ON SERVICE::",IF(ISERROR(FIND("[",$B130,1)),"[",""), $B130, IF(ISERROR(FIND("]",$B130,1)),"]","")),CONCATENATE(LEFT(CONCATENATE(IF(ISERROR(FIND("V",C130,1)),"","RECEIVE, "), IF(ISERROR(FIND("C",C130,1)),"","INSERT, "),IF(ISERROR(FIND("R",C130,1)),"","SELECT, "), IF(ISERROR(FIND("U",C130,1)),"","UPDATE, "),IF(ISERROR(FIND("D",C130,1)),"","DELETE, "), IF(ISERROR(FIND("X",C130,1)),"","EXECUTE, "), IF(ISERROR(FIND("F",C130,1)),"","REFERENCES")),IF(ISERROR(FIND("F",C130,1)), LEN(CONCATENATE(IF(ISERROR(FIND("V",C130,1)),"","RECEIVE, "), IF(ISERROR(FIND("C",C130,1)),"","INSERT, "),IF(ISERROR(FIND("R",C130,1)),"","SELECT, "), IF(ISERROR(FIND("U",C130,1)),"","UPDATE, "),IF(ISERROR(FIND("D",C130,1)),"","DELETE, "), IF(ISERROR(FIND("X",C130,1)),"","EXECUTE, ")))-2,LEN(CONCATENATE(IF(ISERROR(FIND("V",C130,1)),"","RECEIVE, "), IF(ISERROR(FIND("C",C130,1)),"","INSERT, "),IF(ISERROR(FIND("R",C130,1)),"","SELECT, "), IF(ISERROR(FIND("U",C130,1)),"","UPDATE, "),IF(ISERROR(FIND("D",C130,1)),"","DELETE, "), IF(ISERROR(FIND("X",C130,1)),"","EXECUTE, "),IF(ISERROR(FIND("F",C130,1)),"","REFERENCES"))))), " ON ",IF(ISERROR(FIND("[",$A130,1)),"[",""), $A130, IF(ISERROR(FIND("]",$A130,1)),"]",""), ".", IF(ISERROR(FIND("[",$B130,1)),"[",""), $B130, IF(ISERROR(FIND("]",$B130,1)),"]","")))), " TO ", IF(ISERROR(FIND("[",D$8,1)),"[",""), D$8, IF(ISERROR(FIND("]",D$8,1)),"]",""),";" ))</f>
        <v>GRANT EXECUTE, REFERENCES ON [Utility].[GetDateDiffToString] TO [R_DemandaDW];</v>
      </c>
    </row>
    <row r="131" spans="1:4" ht="22.5" x14ac:dyDescent="0.2">
      <c r="A131" s="71" t="s">
        <v>144</v>
      </c>
      <c r="B131" s="71" t="s">
        <v>242</v>
      </c>
      <c r="C131" s="72" t="s">
        <v>170</v>
      </c>
      <c r="D131" s="73" t="str">
        <f>IF(OR($A131="", C131=""), "", CONCATENATE("GRANT ", IF(NOT(ISERROR(FIND("H",C131,1))), CONCATENATE("EXECUTE ON XML SCHEMA COLLECTION::",IF(ISERROR(FIND("[",$A131,1)),"[",""), $A131, IF(ISERROR(FIND("]",$A131,1)),"]",""), ".", IF(ISERROR(FIND("[",$B131,1)),"[",""), $B131, IF(ISERROR(FIND("]",$B131,1)),"]","")),IF(NOT(ISERROR(FIND("N",C131,1))), CONCATENATE("SEND ON SERVICE::",IF(ISERROR(FIND("[",$B131,1)),"[",""), $B131, IF(ISERROR(FIND("]",$B131,1)),"]","")),CONCATENATE(LEFT(CONCATENATE(IF(ISERROR(FIND("V",C131,1)),"","RECEIVE, "), IF(ISERROR(FIND("C",C131,1)),"","INSERT, "),IF(ISERROR(FIND("R",C131,1)),"","SELECT, "), IF(ISERROR(FIND("U",C131,1)),"","UPDATE, "),IF(ISERROR(FIND("D",C131,1)),"","DELETE, "), IF(ISERROR(FIND("X",C131,1)),"","EXECUTE, "), IF(ISERROR(FIND("F",C131,1)),"","REFERENCES")),IF(ISERROR(FIND("F",C131,1)), LEN(CONCATENATE(IF(ISERROR(FIND("V",C131,1)),"","RECEIVE, "), IF(ISERROR(FIND("C",C131,1)),"","INSERT, "),IF(ISERROR(FIND("R",C131,1)),"","SELECT, "), IF(ISERROR(FIND("U",C131,1)),"","UPDATE, "),IF(ISERROR(FIND("D",C131,1)),"","DELETE, "), IF(ISERROR(FIND("X",C131,1)),"","EXECUTE, ")))-2,LEN(CONCATENATE(IF(ISERROR(FIND("V",C131,1)),"","RECEIVE, "), IF(ISERROR(FIND("C",C131,1)),"","INSERT, "),IF(ISERROR(FIND("R",C131,1)),"","SELECT, "), IF(ISERROR(FIND("U",C131,1)),"","UPDATE, "),IF(ISERROR(FIND("D",C131,1)),"","DELETE, "), IF(ISERROR(FIND("X",C131,1)),"","EXECUTE, "),IF(ISERROR(FIND("F",C131,1)),"","REFERENCES"))))), " ON ",IF(ISERROR(FIND("[",$A131,1)),"[",""), $A131, IF(ISERROR(FIND("]",$A131,1)),"]",""), ".", IF(ISERROR(FIND("[",$B131,1)),"[",""), $B131, IF(ISERROR(FIND("]",$B131,1)),"]","")))), " TO ", IF(ISERROR(FIND("[",D$8,1)),"[",""), D$8, IF(ISERROR(FIND("]",D$8,1)),"]",""),";" ))</f>
        <v>GRANT EXECUTE, REFERENCES ON [Utility].[GetDateDiffValue] TO [R_DemandaDW];</v>
      </c>
    </row>
    <row r="132" spans="1:4" ht="22.5" x14ac:dyDescent="0.2">
      <c r="A132" s="71" t="s">
        <v>144</v>
      </c>
      <c r="B132" s="71" t="s">
        <v>243</v>
      </c>
      <c r="C132" s="72" t="s">
        <v>170</v>
      </c>
      <c r="D132" s="73" t="str">
        <f>IF(OR($A132="", C132=""), "", CONCATENATE("GRANT ", IF(NOT(ISERROR(FIND("H",C132,1))), CONCATENATE("EXECUTE ON XML SCHEMA COLLECTION::",IF(ISERROR(FIND("[",$A132,1)),"[",""), $A132, IF(ISERROR(FIND("]",$A132,1)),"]",""), ".", IF(ISERROR(FIND("[",$B132,1)),"[",""), $B132, IF(ISERROR(FIND("]",$B132,1)),"]","")),IF(NOT(ISERROR(FIND("N",C132,1))), CONCATENATE("SEND ON SERVICE::",IF(ISERROR(FIND("[",$B132,1)),"[",""), $B132, IF(ISERROR(FIND("]",$B132,1)),"]","")),CONCATENATE(LEFT(CONCATENATE(IF(ISERROR(FIND("V",C132,1)),"","RECEIVE, "), IF(ISERROR(FIND("C",C132,1)),"","INSERT, "),IF(ISERROR(FIND("R",C132,1)),"","SELECT, "), IF(ISERROR(FIND("U",C132,1)),"","UPDATE, "),IF(ISERROR(FIND("D",C132,1)),"","DELETE, "), IF(ISERROR(FIND("X",C132,1)),"","EXECUTE, "), IF(ISERROR(FIND("F",C132,1)),"","REFERENCES")),IF(ISERROR(FIND("F",C132,1)), LEN(CONCATENATE(IF(ISERROR(FIND("V",C132,1)),"","RECEIVE, "), IF(ISERROR(FIND("C",C132,1)),"","INSERT, "),IF(ISERROR(FIND("R",C132,1)),"","SELECT, "), IF(ISERROR(FIND("U",C132,1)),"","UPDATE, "),IF(ISERROR(FIND("D",C132,1)),"","DELETE, "), IF(ISERROR(FIND("X",C132,1)),"","EXECUTE, ")))-2,LEN(CONCATENATE(IF(ISERROR(FIND("V",C132,1)),"","RECEIVE, "), IF(ISERROR(FIND("C",C132,1)),"","INSERT, "),IF(ISERROR(FIND("R",C132,1)),"","SELECT, "), IF(ISERROR(FIND("U",C132,1)),"","UPDATE, "),IF(ISERROR(FIND("D",C132,1)),"","DELETE, "), IF(ISERROR(FIND("X",C132,1)),"","EXECUTE, "),IF(ISERROR(FIND("F",C132,1)),"","REFERENCES"))))), " ON ",IF(ISERROR(FIND("[",$A132,1)),"[",""), $A132, IF(ISERROR(FIND("]",$A132,1)),"]",""), ".", IF(ISERROR(FIND("[",$B132,1)),"[",""), $B132, IF(ISERROR(FIND("]",$B132,1)),"]","")))), " TO ", IF(ISERROR(FIND("[",D$8,1)),"[",""), D$8, IF(ISERROR(FIND("]",D$8,1)),"]",""),";" ))</f>
        <v>GRANT EXECUTE, REFERENCES ON [Utility].[GetDateDiffValue2] TO [R_DemandaDW];</v>
      </c>
    </row>
    <row r="133" spans="1:4" ht="22.5" x14ac:dyDescent="0.2">
      <c r="A133" s="71" t="s">
        <v>144</v>
      </c>
      <c r="B133" s="71" t="s">
        <v>244</v>
      </c>
      <c r="C133" s="72" t="s">
        <v>170</v>
      </c>
      <c r="D133" s="73" t="str">
        <f>IF(OR($A133="", C133=""), "", CONCATENATE("GRANT ", IF(NOT(ISERROR(FIND("H",C133,1))), CONCATENATE("EXECUTE ON XML SCHEMA COLLECTION::",IF(ISERROR(FIND("[",$A133,1)),"[",""), $A133, IF(ISERROR(FIND("]",$A133,1)),"]",""), ".", IF(ISERROR(FIND("[",$B133,1)),"[",""), $B133, IF(ISERROR(FIND("]",$B133,1)),"]","")),IF(NOT(ISERROR(FIND("N",C133,1))), CONCATENATE("SEND ON SERVICE::",IF(ISERROR(FIND("[",$B133,1)),"[",""), $B133, IF(ISERROR(FIND("]",$B133,1)),"]","")),CONCATENATE(LEFT(CONCATENATE(IF(ISERROR(FIND("V",C133,1)),"","RECEIVE, "), IF(ISERROR(FIND("C",C133,1)),"","INSERT, "),IF(ISERROR(FIND("R",C133,1)),"","SELECT, "), IF(ISERROR(FIND("U",C133,1)),"","UPDATE, "),IF(ISERROR(FIND("D",C133,1)),"","DELETE, "), IF(ISERROR(FIND("X",C133,1)),"","EXECUTE, "), IF(ISERROR(FIND("F",C133,1)),"","REFERENCES")),IF(ISERROR(FIND("F",C133,1)), LEN(CONCATENATE(IF(ISERROR(FIND("V",C133,1)),"","RECEIVE, "), IF(ISERROR(FIND("C",C133,1)),"","INSERT, "),IF(ISERROR(FIND("R",C133,1)),"","SELECT, "), IF(ISERROR(FIND("U",C133,1)),"","UPDATE, "),IF(ISERROR(FIND("D",C133,1)),"","DELETE, "), IF(ISERROR(FIND("X",C133,1)),"","EXECUTE, ")))-2,LEN(CONCATENATE(IF(ISERROR(FIND("V",C133,1)),"","RECEIVE, "), IF(ISERROR(FIND("C",C133,1)),"","INSERT, "),IF(ISERROR(FIND("R",C133,1)),"","SELECT, "), IF(ISERROR(FIND("U",C133,1)),"","UPDATE, "),IF(ISERROR(FIND("D",C133,1)),"","DELETE, "), IF(ISERROR(FIND("X",C133,1)),"","EXECUTE, "),IF(ISERROR(FIND("F",C133,1)),"","REFERENCES"))))), " ON ",IF(ISERROR(FIND("[",$A133,1)),"[",""), $A133, IF(ISERROR(FIND("]",$A133,1)),"]",""), ".", IF(ISERROR(FIND("[",$B133,1)),"[",""), $B133, IF(ISERROR(FIND("]",$B133,1)),"]","")))), " TO ", IF(ISERROR(FIND("[",D$8,1)),"[",""), D$8, IF(ISERROR(FIND("]",D$8,1)),"]",""),";" ))</f>
        <v>GRANT EXECUTE, REFERENCES ON [Utility].[GetDaysInMonth] TO [R_DemandaDW];</v>
      </c>
    </row>
    <row r="134" spans="1:4" ht="33.75" x14ac:dyDescent="0.2">
      <c r="A134" s="71" t="s">
        <v>144</v>
      </c>
      <c r="B134" s="71" t="s">
        <v>245</v>
      </c>
      <c r="C134" s="72" t="s">
        <v>170</v>
      </c>
      <c r="D134" s="73" t="str">
        <f>IF(OR($A134="", C134=""), "", CONCATENATE("GRANT ", IF(NOT(ISERROR(FIND("H",C134,1))), CONCATENATE("EXECUTE ON XML SCHEMA COLLECTION::",IF(ISERROR(FIND("[",$A134,1)),"[",""), $A134, IF(ISERROR(FIND("]",$A134,1)),"]",""), ".", IF(ISERROR(FIND("[",$B134,1)),"[",""), $B134, IF(ISERROR(FIND("]",$B134,1)),"]","")),IF(NOT(ISERROR(FIND("N",C134,1))), CONCATENATE("SEND ON SERVICE::",IF(ISERROR(FIND("[",$B134,1)),"[",""), $B134, IF(ISERROR(FIND("]",$B134,1)),"]","")),CONCATENATE(LEFT(CONCATENATE(IF(ISERROR(FIND("V",C134,1)),"","RECEIVE, "), IF(ISERROR(FIND("C",C134,1)),"","INSERT, "),IF(ISERROR(FIND("R",C134,1)),"","SELECT, "), IF(ISERROR(FIND("U",C134,1)),"","UPDATE, "),IF(ISERROR(FIND("D",C134,1)),"","DELETE, "), IF(ISERROR(FIND("X",C134,1)),"","EXECUTE, "), IF(ISERROR(FIND("F",C134,1)),"","REFERENCES")),IF(ISERROR(FIND("F",C134,1)), LEN(CONCATENATE(IF(ISERROR(FIND("V",C134,1)),"","RECEIVE, "), IF(ISERROR(FIND("C",C134,1)),"","INSERT, "),IF(ISERROR(FIND("R",C134,1)),"","SELECT, "), IF(ISERROR(FIND("U",C134,1)),"","UPDATE, "),IF(ISERROR(FIND("D",C134,1)),"","DELETE, "), IF(ISERROR(FIND("X",C134,1)),"","EXECUTE, ")))-2,LEN(CONCATENATE(IF(ISERROR(FIND("V",C134,1)),"","RECEIVE, "), IF(ISERROR(FIND("C",C134,1)),"","INSERT, "),IF(ISERROR(FIND("R",C134,1)),"","SELECT, "), IF(ISERROR(FIND("U",C134,1)),"","UPDATE, "),IF(ISERROR(FIND("D",C134,1)),"","DELETE, "), IF(ISERROR(FIND("X",C134,1)),"","EXECUTE, "),IF(ISERROR(FIND("F",C134,1)),"","REFERENCES"))))), " ON ",IF(ISERROR(FIND("[",$A134,1)),"[",""), $A134, IF(ISERROR(FIND("]",$A134,1)),"]",""), ".", IF(ISERROR(FIND("[",$B134,1)),"[",""), $B134, IF(ISERROR(FIND("]",$B134,1)),"]","")))), " TO ", IF(ISERROR(FIND("[",D$8,1)),"[",""), D$8, IF(ISERROR(FIND("]",D$8,1)),"]",""),";" ))</f>
        <v>GRANT EXECUTE, REFERENCES ON [Utility].[GetDurationBetweenDates] TO [R_DemandaDW];</v>
      </c>
    </row>
    <row r="135" spans="1:4" ht="22.5" x14ac:dyDescent="0.2">
      <c r="A135" s="71" t="s">
        <v>144</v>
      </c>
      <c r="B135" s="71" t="s">
        <v>246</v>
      </c>
      <c r="C135" s="72" t="s">
        <v>170</v>
      </c>
      <c r="D135" s="73" t="str">
        <f>IF(OR($A135="", C135=""), "", CONCATENATE("GRANT ", IF(NOT(ISERROR(FIND("H",C135,1))), CONCATENATE("EXECUTE ON XML SCHEMA COLLECTION::",IF(ISERROR(FIND("[",$A135,1)),"[",""), $A135, IF(ISERROR(FIND("]",$A135,1)),"]",""), ".", IF(ISERROR(FIND("[",$B135,1)),"[",""), $B135, IF(ISERROR(FIND("]",$B135,1)),"]","")),IF(NOT(ISERROR(FIND("N",C135,1))), CONCATENATE("SEND ON SERVICE::",IF(ISERROR(FIND("[",$B135,1)),"[",""), $B135, IF(ISERROR(FIND("]",$B135,1)),"]","")),CONCATENATE(LEFT(CONCATENATE(IF(ISERROR(FIND("V",C135,1)),"","RECEIVE, "), IF(ISERROR(FIND("C",C135,1)),"","INSERT, "),IF(ISERROR(FIND("R",C135,1)),"","SELECT, "), IF(ISERROR(FIND("U",C135,1)),"","UPDATE, "),IF(ISERROR(FIND("D",C135,1)),"","DELETE, "), IF(ISERROR(FIND("X",C135,1)),"","EXECUTE, "), IF(ISERROR(FIND("F",C135,1)),"","REFERENCES")),IF(ISERROR(FIND("F",C135,1)), LEN(CONCATENATE(IF(ISERROR(FIND("V",C135,1)),"","RECEIVE, "), IF(ISERROR(FIND("C",C135,1)),"","INSERT, "),IF(ISERROR(FIND("R",C135,1)),"","SELECT, "), IF(ISERROR(FIND("U",C135,1)),"","UPDATE, "),IF(ISERROR(FIND("D",C135,1)),"","DELETE, "), IF(ISERROR(FIND("X",C135,1)),"","EXECUTE, ")))-2,LEN(CONCATENATE(IF(ISERROR(FIND("V",C135,1)),"","RECEIVE, "), IF(ISERROR(FIND("C",C135,1)),"","INSERT, "),IF(ISERROR(FIND("R",C135,1)),"","SELECT, "), IF(ISERROR(FIND("U",C135,1)),"","UPDATE, "),IF(ISERROR(FIND("D",C135,1)),"","DELETE, "), IF(ISERROR(FIND("X",C135,1)),"","EXECUTE, "),IF(ISERROR(FIND("F",C135,1)),"","REFERENCES"))))), " ON ",IF(ISERROR(FIND("[",$A135,1)),"[",""), $A135, IF(ISERROR(FIND("]",$A135,1)),"]",""), ".", IF(ISERROR(FIND("[",$B135,1)),"[",""), $B135, IF(ISERROR(FIND("]",$B135,1)),"]","")))), " TO ", IF(ISERROR(FIND("[",D$8,1)),"[",""), D$8, IF(ISERROR(FIND("]",D$8,1)),"]",""),";" ))</f>
        <v>GRANT EXECUTE, REFERENCES ON [Utility].[GetEndOfDatePart] TO [R_DemandaDW];</v>
      </c>
    </row>
    <row r="136" spans="1:4" ht="22.5" x14ac:dyDescent="0.2">
      <c r="A136" s="71" t="s">
        <v>144</v>
      </c>
      <c r="B136" s="71" t="s">
        <v>247</v>
      </c>
      <c r="C136" s="72" t="s">
        <v>170</v>
      </c>
      <c r="D136" s="73" t="str">
        <f>IF(OR($A136="", C136=""), "", CONCATENATE("GRANT ", IF(NOT(ISERROR(FIND("H",C136,1))), CONCATENATE("EXECUTE ON XML SCHEMA COLLECTION::",IF(ISERROR(FIND("[",$A136,1)),"[",""), $A136, IF(ISERROR(FIND("]",$A136,1)),"]",""), ".", IF(ISERROR(FIND("[",$B136,1)),"[",""), $B136, IF(ISERROR(FIND("]",$B136,1)),"]","")),IF(NOT(ISERROR(FIND("N",C136,1))), CONCATENATE("SEND ON SERVICE::",IF(ISERROR(FIND("[",$B136,1)),"[",""), $B136, IF(ISERROR(FIND("]",$B136,1)),"]","")),CONCATENATE(LEFT(CONCATENATE(IF(ISERROR(FIND("V",C136,1)),"","RECEIVE, "), IF(ISERROR(FIND("C",C136,1)),"","INSERT, "),IF(ISERROR(FIND("R",C136,1)),"","SELECT, "), IF(ISERROR(FIND("U",C136,1)),"","UPDATE, "),IF(ISERROR(FIND("D",C136,1)),"","DELETE, "), IF(ISERROR(FIND("X",C136,1)),"","EXECUTE, "), IF(ISERROR(FIND("F",C136,1)),"","REFERENCES")),IF(ISERROR(FIND("F",C136,1)), LEN(CONCATENATE(IF(ISERROR(FIND("V",C136,1)),"","RECEIVE, "), IF(ISERROR(FIND("C",C136,1)),"","INSERT, "),IF(ISERROR(FIND("R",C136,1)),"","SELECT, "), IF(ISERROR(FIND("U",C136,1)),"","UPDATE, "),IF(ISERROR(FIND("D",C136,1)),"","DELETE, "), IF(ISERROR(FIND("X",C136,1)),"","EXECUTE, ")))-2,LEN(CONCATENATE(IF(ISERROR(FIND("V",C136,1)),"","RECEIVE, "), IF(ISERROR(FIND("C",C136,1)),"","INSERT, "),IF(ISERROR(FIND("R",C136,1)),"","SELECT, "), IF(ISERROR(FIND("U",C136,1)),"","UPDATE, "),IF(ISERROR(FIND("D",C136,1)),"","DELETE, "), IF(ISERROR(FIND("X",C136,1)),"","EXECUTE, "),IF(ISERROR(FIND("F",C136,1)),"","REFERENCES"))))), " ON ",IF(ISERROR(FIND("[",$A136,1)),"[",""), $A136, IF(ISERROR(FIND("]",$A136,1)),"]",""), ".", IF(ISERROR(FIND("[",$B136,1)),"[",""), $B136, IF(ISERROR(FIND("]",$B136,1)),"]","")))), " TO ", IF(ISERROR(FIND("[",D$8,1)),"[",""), D$8, IF(ISERROR(FIND("]",D$8,1)),"]",""),";" ))</f>
        <v>GRANT EXECUTE, REFERENCES ON [Utility].[GetEndOfDay] TO [R_DemandaDW];</v>
      </c>
    </row>
    <row r="137" spans="1:4" ht="22.5" x14ac:dyDescent="0.2">
      <c r="A137" s="71" t="s">
        <v>144</v>
      </c>
      <c r="B137" s="71" t="s">
        <v>248</v>
      </c>
      <c r="C137" s="72" t="s">
        <v>170</v>
      </c>
      <c r="D137" s="73" t="str">
        <f>IF(OR($A137="", C137=""), "", CONCATENATE("GRANT ", IF(NOT(ISERROR(FIND("H",C137,1))), CONCATENATE("EXECUTE ON XML SCHEMA COLLECTION::",IF(ISERROR(FIND("[",$A137,1)),"[",""), $A137, IF(ISERROR(FIND("]",$A137,1)),"]",""), ".", IF(ISERROR(FIND("[",$B137,1)),"[",""), $B137, IF(ISERROR(FIND("]",$B137,1)),"]","")),IF(NOT(ISERROR(FIND("N",C137,1))), CONCATENATE("SEND ON SERVICE::",IF(ISERROR(FIND("[",$B137,1)),"[",""), $B137, IF(ISERROR(FIND("]",$B137,1)),"]","")),CONCATENATE(LEFT(CONCATENATE(IF(ISERROR(FIND("V",C137,1)),"","RECEIVE, "), IF(ISERROR(FIND("C",C137,1)),"","INSERT, "),IF(ISERROR(FIND("R",C137,1)),"","SELECT, "), IF(ISERROR(FIND("U",C137,1)),"","UPDATE, "),IF(ISERROR(FIND("D",C137,1)),"","DELETE, "), IF(ISERROR(FIND("X",C137,1)),"","EXECUTE, "), IF(ISERROR(FIND("F",C137,1)),"","REFERENCES")),IF(ISERROR(FIND("F",C137,1)), LEN(CONCATENATE(IF(ISERROR(FIND("V",C137,1)),"","RECEIVE, "), IF(ISERROR(FIND("C",C137,1)),"","INSERT, "),IF(ISERROR(FIND("R",C137,1)),"","SELECT, "), IF(ISERROR(FIND("U",C137,1)),"","UPDATE, "),IF(ISERROR(FIND("D",C137,1)),"","DELETE, "), IF(ISERROR(FIND("X",C137,1)),"","EXECUTE, ")))-2,LEN(CONCATENATE(IF(ISERROR(FIND("V",C137,1)),"","RECEIVE, "), IF(ISERROR(FIND("C",C137,1)),"","INSERT, "),IF(ISERROR(FIND("R",C137,1)),"","SELECT, "), IF(ISERROR(FIND("U",C137,1)),"","UPDATE, "),IF(ISERROR(FIND("D",C137,1)),"","DELETE, "), IF(ISERROR(FIND("X",C137,1)),"","EXECUTE, "),IF(ISERROR(FIND("F",C137,1)),"","REFERENCES"))))), " ON ",IF(ISERROR(FIND("[",$A137,1)),"[",""), $A137, IF(ISERROR(FIND("]",$A137,1)),"]",""), ".", IF(ISERROR(FIND("[",$B137,1)),"[",""), $B137, IF(ISERROR(FIND("]",$B137,1)),"]","")))), " TO ", IF(ISERROR(FIND("[",D$8,1)),"[",""), D$8, IF(ISERROR(FIND("]",D$8,1)),"]",""),";" ))</f>
        <v>GRANT EXECUTE, REFERENCES ON [Utility].[GetEndOfHalf] TO [R_DemandaDW];</v>
      </c>
    </row>
    <row r="138" spans="1:4" ht="22.5" x14ac:dyDescent="0.2">
      <c r="A138" s="71" t="s">
        <v>144</v>
      </c>
      <c r="B138" s="71" t="s">
        <v>249</v>
      </c>
      <c r="C138" s="72" t="s">
        <v>170</v>
      </c>
      <c r="D138" s="73" t="str">
        <f>IF(OR($A138="", C138=""), "", CONCATENATE("GRANT ", IF(NOT(ISERROR(FIND("H",C138,1))), CONCATENATE("EXECUTE ON XML SCHEMA COLLECTION::",IF(ISERROR(FIND("[",$A138,1)),"[",""), $A138, IF(ISERROR(FIND("]",$A138,1)),"]",""), ".", IF(ISERROR(FIND("[",$B138,1)),"[",""), $B138, IF(ISERROR(FIND("]",$B138,1)),"]","")),IF(NOT(ISERROR(FIND("N",C138,1))), CONCATENATE("SEND ON SERVICE::",IF(ISERROR(FIND("[",$B138,1)),"[",""), $B138, IF(ISERROR(FIND("]",$B138,1)),"]","")),CONCATENATE(LEFT(CONCATENATE(IF(ISERROR(FIND("V",C138,1)),"","RECEIVE, "), IF(ISERROR(FIND("C",C138,1)),"","INSERT, "),IF(ISERROR(FIND("R",C138,1)),"","SELECT, "), IF(ISERROR(FIND("U",C138,1)),"","UPDATE, "),IF(ISERROR(FIND("D",C138,1)),"","DELETE, "), IF(ISERROR(FIND("X",C138,1)),"","EXECUTE, "), IF(ISERROR(FIND("F",C138,1)),"","REFERENCES")),IF(ISERROR(FIND("F",C138,1)), LEN(CONCATENATE(IF(ISERROR(FIND("V",C138,1)),"","RECEIVE, "), IF(ISERROR(FIND("C",C138,1)),"","INSERT, "),IF(ISERROR(FIND("R",C138,1)),"","SELECT, "), IF(ISERROR(FIND("U",C138,1)),"","UPDATE, "),IF(ISERROR(FIND("D",C138,1)),"","DELETE, "), IF(ISERROR(FIND("X",C138,1)),"","EXECUTE, ")))-2,LEN(CONCATENATE(IF(ISERROR(FIND("V",C138,1)),"","RECEIVE, "), IF(ISERROR(FIND("C",C138,1)),"","INSERT, "),IF(ISERROR(FIND("R",C138,1)),"","SELECT, "), IF(ISERROR(FIND("U",C138,1)),"","UPDATE, "),IF(ISERROR(FIND("D",C138,1)),"","DELETE, "), IF(ISERROR(FIND("X",C138,1)),"","EXECUTE, "),IF(ISERROR(FIND("F",C138,1)),"","REFERENCES"))))), " ON ",IF(ISERROR(FIND("[",$A138,1)),"[",""), $A138, IF(ISERROR(FIND("]",$A138,1)),"]",""), ".", IF(ISERROR(FIND("[",$B138,1)),"[",""), $B138, IF(ISERROR(FIND("]",$B138,1)),"]","")))), " TO ", IF(ISERROR(FIND("[",D$8,1)),"[",""), D$8, IF(ISERROR(FIND("]",D$8,1)),"]",""),";" ))</f>
        <v>GRANT EXECUTE, REFERENCES ON [Utility].[GetEndOfMonth] TO [R_DemandaDW];</v>
      </c>
    </row>
    <row r="139" spans="1:4" ht="22.5" x14ac:dyDescent="0.2">
      <c r="A139" s="71" t="s">
        <v>144</v>
      </c>
      <c r="B139" s="71" t="s">
        <v>250</v>
      </c>
      <c r="C139" s="72" t="s">
        <v>170</v>
      </c>
      <c r="D139" s="73" t="str">
        <f>IF(OR($A139="", C139=""), "", CONCATENATE("GRANT ", IF(NOT(ISERROR(FIND("H",C139,1))), CONCATENATE("EXECUTE ON XML SCHEMA COLLECTION::",IF(ISERROR(FIND("[",$A139,1)),"[",""), $A139, IF(ISERROR(FIND("]",$A139,1)),"]",""), ".", IF(ISERROR(FIND("[",$B139,1)),"[",""), $B139, IF(ISERROR(FIND("]",$B139,1)),"]","")),IF(NOT(ISERROR(FIND("N",C139,1))), CONCATENATE("SEND ON SERVICE::",IF(ISERROR(FIND("[",$B139,1)),"[",""), $B139, IF(ISERROR(FIND("]",$B139,1)),"]","")),CONCATENATE(LEFT(CONCATENATE(IF(ISERROR(FIND("V",C139,1)),"","RECEIVE, "), IF(ISERROR(FIND("C",C139,1)),"","INSERT, "),IF(ISERROR(FIND("R",C139,1)),"","SELECT, "), IF(ISERROR(FIND("U",C139,1)),"","UPDATE, "),IF(ISERROR(FIND("D",C139,1)),"","DELETE, "), IF(ISERROR(FIND("X",C139,1)),"","EXECUTE, "), IF(ISERROR(FIND("F",C139,1)),"","REFERENCES")),IF(ISERROR(FIND("F",C139,1)), LEN(CONCATENATE(IF(ISERROR(FIND("V",C139,1)),"","RECEIVE, "), IF(ISERROR(FIND("C",C139,1)),"","INSERT, "),IF(ISERROR(FIND("R",C139,1)),"","SELECT, "), IF(ISERROR(FIND("U",C139,1)),"","UPDATE, "),IF(ISERROR(FIND("D",C139,1)),"","DELETE, "), IF(ISERROR(FIND("X",C139,1)),"","EXECUTE, ")))-2,LEN(CONCATENATE(IF(ISERROR(FIND("V",C139,1)),"","RECEIVE, "), IF(ISERROR(FIND("C",C139,1)),"","INSERT, "),IF(ISERROR(FIND("R",C139,1)),"","SELECT, "), IF(ISERROR(FIND("U",C139,1)),"","UPDATE, "),IF(ISERROR(FIND("D",C139,1)),"","DELETE, "), IF(ISERROR(FIND("X",C139,1)),"","EXECUTE, "),IF(ISERROR(FIND("F",C139,1)),"","REFERENCES"))))), " ON ",IF(ISERROR(FIND("[",$A139,1)),"[",""), $A139, IF(ISERROR(FIND("]",$A139,1)),"]",""), ".", IF(ISERROR(FIND("[",$B139,1)),"[",""), $B139, IF(ISERROR(FIND("]",$B139,1)),"]","")))), " TO ", IF(ISERROR(FIND("[",D$8,1)),"[",""), D$8, IF(ISERROR(FIND("]",D$8,1)),"]",""),";" ))</f>
        <v>GRANT EXECUTE, REFERENCES ON [Utility].[GetEndOfMonth2] TO [R_DemandaDW];</v>
      </c>
    </row>
    <row r="140" spans="1:4" ht="22.5" x14ac:dyDescent="0.2">
      <c r="A140" s="71" t="s">
        <v>144</v>
      </c>
      <c r="B140" s="71" t="s">
        <v>251</v>
      </c>
      <c r="C140" s="72" t="s">
        <v>170</v>
      </c>
      <c r="D140" s="73" t="str">
        <f>IF(OR($A140="", C140=""), "", CONCATENATE("GRANT ", IF(NOT(ISERROR(FIND("H",C140,1))), CONCATENATE("EXECUTE ON XML SCHEMA COLLECTION::",IF(ISERROR(FIND("[",$A140,1)),"[",""), $A140, IF(ISERROR(FIND("]",$A140,1)),"]",""), ".", IF(ISERROR(FIND("[",$B140,1)),"[",""), $B140, IF(ISERROR(FIND("]",$B140,1)),"]","")),IF(NOT(ISERROR(FIND("N",C140,1))), CONCATENATE("SEND ON SERVICE::",IF(ISERROR(FIND("[",$B140,1)),"[",""), $B140, IF(ISERROR(FIND("]",$B140,1)),"]","")),CONCATENATE(LEFT(CONCATENATE(IF(ISERROR(FIND("V",C140,1)),"","RECEIVE, "), IF(ISERROR(FIND("C",C140,1)),"","INSERT, "),IF(ISERROR(FIND("R",C140,1)),"","SELECT, "), IF(ISERROR(FIND("U",C140,1)),"","UPDATE, "),IF(ISERROR(FIND("D",C140,1)),"","DELETE, "), IF(ISERROR(FIND("X",C140,1)),"","EXECUTE, "), IF(ISERROR(FIND("F",C140,1)),"","REFERENCES")),IF(ISERROR(FIND("F",C140,1)), LEN(CONCATENATE(IF(ISERROR(FIND("V",C140,1)),"","RECEIVE, "), IF(ISERROR(FIND("C",C140,1)),"","INSERT, "),IF(ISERROR(FIND("R",C140,1)),"","SELECT, "), IF(ISERROR(FIND("U",C140,1)),"","UPDATE, "),IF(ISERROR(FIND("D",C140,1)),"","DELETE, "), IF(ISERROR(FIND("X",C140,1)),"","EXECUTE, ")))-2,LEN(CONCATENATE(IF(ISERROR(FIND("V",C140,1)),"","RECEIVE, "), IF(ISERROR(FIND("C",C140,1)),"","INSERT, "),IF(ISERROR(FIND("R",C140,1)),"","SELECT, "), IF(ISERROR(FIND("U",C140,1)),"","UPDATE, "),IF(ISERROR(FIND("D",C140,1)),"","DELETE, "), IF(ISERROR(FIND("X",C140,1)),"","EXECUTE, "),IF(ISERROR(FIND("F",C140,1)),"","REFERENCES"))))), " ON ",IF(ISERROR(FIND("[",$A140,1)),"[",""), $A140, IF(ISERROR(FIND("]",$A140,1)),"]",""), ".", IF(ISERROR(FIND("[",$B140,1)),"[",""), $B140, IF(ISERROR(FIND("]",$B140,1)),"]","")))), " TO ", IF(ISERROR(FIND("[",D$8,1)),"[",""), D$8, IF(ISERROR(FIND("]",D$8,1)),"]",""),";" ))</f>
        <v>GRANT EXECUTE, REFERENCES ON [Utility].[GetEndOfQuarter] TO [R_DemandaDW];</v>
      </c>
    </row>
    <row r="141" spans="1:4" ht="22.5" x14ac:dyDescent="0.2">
      <c r="A141" s="71" t="s">
        <v>144</v>
      </c>
      <c r="B141" s="71" t="s">
        <v>252</v>
      </c>
      <c r="C141" s="72" t="s">
        <v>170</v>
      </c>
      <c r="D141" s="73" t="str">
        <f>IF(OR($A141="", C141=""), "", CONCATENATE("GRANT ", IF(NOT(ISERROR(FIND("H",C141,1))), CONCATENATE("EXECUTE ON XML SCHEMA COLLECTION::",IF(ISERROR(FIND("[",$A141,1)),"[",""), $A141, IF(ISERROR(FIND("]",$A141,1)),"]",""), ".", IF(ISERROR(FIND("[",$B141,1)),"[",""), $B141, IF(ISERROR(FIND("]",$B141,1)),"]","")),IF(NOT(ISERROR(FIND("N",C141,1))), CONCATENATE("SEND ON SERVICE::",IF(ISERROR(FIND("[",$B141,1)),"[",""), $B141, IF(ISERROR(FIND("]",$B141,1)),"]","")),CONCATENATE(LEFT(CONCATENATE(IF(ISERROR(FIND("V",C141,1)),"","RECEIVE, "), IF(ISERROR(FIND("C",C141,1)),"","INSERT, "),IF(ISERROR(FIND("R",C141,1)),"","SELECT, "), IF(ISERROR(FIND("U",C141,1)),"","UPDATE, "),IF(ISERROR(FIND("D",C141,1)),"","DELETE, "), IF(ISERROR(FIND("X",C141,1)),"","EXECUTE, "), IF(ISERROR(FIND("F",C141,1)),"","REFERENCES")),IF(ISERROR(FIND("F",C141,1)), LEN(CONCATENATE(IF(ISERROR(FIND("V",C141,1)),"","RECEIVE, "), IF(ISERROR(FIND("C",C141,1)),"","INSERT, "),IF(ISERROR(FIND("R",C141,1)),"","SELECT, "), IF(ISERROR(FIND("U",C141,1)),"","UPDATE, "),IF(ISERROR(FIND("D",C141,1)),"","DELETE, "), IF(ISERROR(FIND("X",C141,1)),"","EXECUTE, ")))-2,LEN(CONCATENATE(IF(ISERROR(FIND("V",C141,1)),"","RECEIVE, "), IF(ISERROR(FIND("C",C141,1)),"","INSERT, "),IF(ISERROR(FIND("R",C141,1)),"","SELECT, "), IF(ISERROR(FIND("U",C141,1)),"","UPDATE, "),IF(ISERROR(FIND("D",C141,1)),"","DELETE, "), IF(ISERROR(FIND("X",C141,1)),"","EXECUTE, "),IF(ISERROR(FIND("F",C141,1)),"","REFERENCES"))))), " ON ",IF(ISERROR(FIND("[",$A141,1)),"[",""), $A141, IF(ISERROR(FIND("]",$A141,1)),"]",""), ".", IF(ISERROR(FIND("[",$B141,1)),"[",""), $B141, IF(ISERROR(FIND("]",$B141,1)),"]","")))), " TO ", IF(ISERROR(FIND("[",D$8,1)),"[",""), D$8, IF(ISERROR(FIND("]",D$8,1)),"]",""),";" ))</f>
        <v>GRANT EXECUTE, REFERENCES ON [Utility].[GetEndOftWeek] TO [R_DemandaDW];</v>
      </c>
    </row>
    <row r="142" spans="1:4" ht="22.5" x14ac:dyDescent="0.2">
      <c r="A142" s="71" t="s">
        <v>144</v>
      </c>
      <c r="B142" s="71" t="s">
        <v>253</v>
      </c>
      <c r="C142" s="72" t="s">
        <v>170</v>
      </c>
      <c r="D142" s="73" t="str">
        <f>IF(OR($A142="", C142=""), "", CONCATENATE("GRANT ", IF(NOT(ISERROR(FIND("H",C142,1))), CONCATENATE("EXECUTE ON XML SCHEMA COLLECTION::",IF(ISERROR(FIND("[",$A142,1)),"[",""), $A142, IF(ISERROR(FIND("]",$A142,1)),"]",""), ".", IF(ISERROR(FIND("[",$B142,1)),"[",""), $B142, IF(ISERROR(FIND("]",$B142,1)),"]","")),IF(NOT(ISERROR(FIND("N",C142,1))), CONCATENATE("SEND ON SERVICE::",IF(ISERROR(FIND("[",$B142,1)),"[",""), $B142, IF(ISERROR(FIND("]",$B142,1)),"]","")),CONCATENATE(LEFT(CONCATENATE(IF(ISERROR(FIND("V",C142,1)),"","RECEIVE, "), IF(ISERROR(FIND("C",C142,1)),"","INSERT, "),IF(ISERROR(FIND("R",C142,1)),"","SELECT, "), IF(ISERROR(FIND("U",C142,1)),"","UPDATE, "),IF(ISERROR(FIND("D",C142,1)),"","DELETE, "), IF(ISERROR(FIND("X",C142,1)),"","EXECUTE, "), IF(ISERROR(FIND("F",C142,1)),"","REFERENCES")),IF(ISERROR(FIND("F",C142,1)), LEN(CONCATENATE(IF(ISERROR(FIND("V",C142,1)),"","RECEIVE, "), IF(ISERROR(FIND("C",C142,1)),"","INSERT, "),IF(ISERROR(FIND("R",C142,1)),"","SELECT, "), IF(ISERROR(FIND("U",C142,1)),"","UPDATE, "),IF(ISERROR(FIND("D",C142,1)),"","DELETE, "), IF(ISERROR(FIND("X",C142,1)),"","EXECUTE, ")))-2,LEN(CONCATENATE(IF(ISERROR(FIND("V",C142,1)),"","RECEIVE, "), IF(ISERROR(FIND("C",C142,1)),"","INSERT, "),IF(ISERROR(FIND("R",C142,1)),"","SELECT, "), IF(ISERROR(FIND("U",C142,1)),"","UPDATE, "),IF(ISERROR(FIND("D",C142,1)),"","DELETE, "), IF(ISERROR(FIND("X",C142,1)),"","EXECUTE, "),IF(ISERROR(FIND("F",C142,1)),"","REFERENCES"))))), " ON ",IF(ISERROR(FIND("[",$A142,1)),"[",""), $A142, IF(ISERROR(FIND("]",$A142,1)),"]",""), ".", IF(ISERROR(FIND("[",$B142,1)),"[",""), $B142, IF(ISERROR(FIND("]",$B142,1)),"]","")))), " TO ", IF(ISERROR(FIND("[",D$8,1)),"[",""), D$8, IF(ISERROR(FIND("]",D$8,1)),"]",""),";" ))</f>
        <v>GRANT EXECUTE, REFERENCES ON [Utility].[GetEndOfYear] TO [R_DemandaDW];</v>
      </c>
    </row>
    <row r="143" spans="1:4" ht="33.75" x14ac:dyDescent="0.2">
      <c r="A143" s="71" t="s">
        <v>144</v>
      </c>
      <c r="B143" s="71" t="s">
        <v>254</v>
      </c>
      <c r="C143" s="72" t="s">
        <v>170</v>
      </c>
      <c r="D143" s="73" t="str">
        <f>IF(OR($A143="", C143=""), "", CONCATENATE("GRANT ", IF(NOT(ISERROR(FIND("H",C143,1))), CONCATENATE("EXECUTE ON XML SCHEMA COLLECTION::",IF(ISERROR(FIND("[",$A143,1)),"[",""), $A143, IF(ISERROR(FIND("]",$A143,1)),"]",""), ".", IF(ISERROR(FIND("[",$B143,1)),"[",""), $B143, IF(ISERROR(FIND("]",$B143,1)),"]","")),IF(NOT(ISERROR(FIND("N",C143,1))), CONCATENATE("SEND ON SERVICE::",IF(ISERROR(FIND("[",$B143,1)),"[",""), $B143, IF(ISERROR(FIND("]",$B143,1)),"]","")),CONCATENATE(LEFT(CONCATENATE(IF(ISERROR(FIND("V",C143,1)),"","RECEIVE, "), IF(ISERROR(FIND("C",C143,1)),"","INSERT, "),IF(ISERROR(FIND("R",C143,1)),"","SELECT, "), IF(ISERROR(FIND("U",C143,1)),"","UPDATE, "),IF(ISERROR(FIND("D",C143,1)),"","DELETE, "), IF(ISERROR(FIND("X",C143,1)),"","EXECUTE, "), IF(ISERROR(FIND("F",C143,1)),"","REFERENCES")),IF(ISERROR(FIND("F",C143,1)), LEN(CONCATENATE(IF(ISERROR(FIND("V",C143,1)),"","RECEIVE, "), IF(ISERROR(FIND("C",C143,1)),"","INSERT, "),IF(ISERROR(FIND("R",C143,1)),"","SELECT, "), IF(ISERROR(FIND("U",C143,1)),"","UPDATE, "),IF(ISERROR(FIND("D",C143,1)),"","DELETE, "), IF(ISERROR(FIND("X",C143,1)),"","EXECUTE, ")))-2,LEN(CONCATENATE(IF(ISERROR(FIND("V",C143,1)),"","RECEIVE, "), IF(ISERROR(FIND("C",C143,1)),"","INSERT, "),IF(ISERROR(FIND("R",C143,1)),"","SELECT, "), IF(ISERROR(FIND("U",C143,1)),"","UPDATE, "),IF(ISERROR(FIND("D",C143,1)),"","DELETE, "), IF(ISERROR(FIND("X",C143,1)),"","EXECUTE, "),IF(ISERROR(FIND("F",C143,1)),"","REFERENCES"))))), " ON ",IF(ISERROR(FIND("[",$A143,1)),"[",""), $A143, IF(ISERROR(FIND("]",$A143,1)),"]",""), ".", IF(ISERROR(FIND("[",$B143,1)),"[",""), $B143, IF(ISERROR(FIND("]",$B143,1)),"]","")))), " TO ", IF(ISERROR(FIND("[",D$8,1)),"[",""), D$8, IF(ISERROR(FIND("]",D$8,1)),"]",""),";" ))</f>
        <v>GRANT EXECUTE, REFERENCES ON [Utility].[GetErrorCurrentToString] TO [R_DemandaDW];</v>
      </c>
    </row>
    <row r="144" spans="1:4" ht="22.5" x14ac:dyDescent="0.2">
      <c r="A144" s="71" t="s">
        <v>144</v>
      </c>
      <c r="B144" s="71" t="s">
        <v>255</v>
      </c>
      <c r="C144" s="72" t="s">
        <v>170</v>
      </c>
      <c r="D144" s="73" t="str">
        <f>IF(OR($A144="", C144=""), "", CONCATENATE("GRANT ", IF(NOT(ISERROR(FIND("H",C144,1))), CONCATENATE("EXECUTE ON XML SCHEMA COLLECTION::",IF(ISERROR(FIND("[",$A144,1)),"[",""), $A144, IF(ISERROR(FIND("]",$A144,1)),"]",""), ".", IF(ISERROR(FIND("[",$B144,1)),"[",""), $B144, IF(ISERROR(FIND("]",$B144,1)),"]","")),IF(NOT(ISERROR(FIND("N",C144,1))), CONCATENATE("SEND ON SERVICE::",IF(ISERROR(FIND("[",$B144,1)),"[",""), $B144, IF(ISERROR(FIND("]",$B144,1)),"]","")),CONCATENATE(LEFT(CONCATENATE(IF(ISERROR(FIND("V",C144,1)),"","RECEIVE, "), IF(ISERROR(FIND("C",C144,1)),"","INSERT, "),IF(ISERROR(FIND("R",C144,1)),"","SELECT, "), IF(ISERROR(FIND("U",C144,1)),"","UPDATE, "),IF(ISERROR(FIND("D",C144,1)),"","DELETE, "), IF(ISERROR(FIND("X",C144,1)),"","EXECUTE, "), IF(ISERROR(FIND("F",C144,1)),"","REFERENCES")),IF(ISERROR(FIND("F",C144,1)), LEN(CONCATENATE(IF(ISERROR(FIND("V",C144,1)),"","RECEIVE, "), IF(ISERROR(FIND("C",C144,1)),"","INSERT, "),IF(ISERROR(FIND("R",C144,1)),"","SELECT, "), IF(ISERROR(FIND("U",C144,1)),"","UPDATE, "),IF(ISERROR(FIND("D",C144,1)),"","DELETE, "), IF(ISERROR(FIND("X",C144,1)),"","EXECUTE, ")))-2,LEN(CONCATENATE(IF(ISERROR(FIND("V",C144,1)),"","RECEIVE, "), IF(ISERROR(FIND("C",C144,1)),"","INSERT, "),IF(ISERROR(FIND("R",C144,1)),"","SELECT, "), IF(ISERROR(FIND("U",C144,1)),"","UPDATE, "),IF(ISERROR(FIND("D",C144,1)),"","DELETE, "), IF(ISERROR(FIND("X",C144,1)),"","EXECUTE, "),IF(ISERROR(FIND("F",C144,1)),"","REFERENCES"))))), " ON ",IF(ISERROR(FIND("[",$A144,1)),"[",""), $A144, IF(ISERROR(FIND("]",$A144,1)),"]",""), ".", IF(ISERROR(FIND("[",$B144,1)),"[",""), $B144, IF(ISERROR(FIND("]",$B144,1)),"]","")))), " TO ", IF(ISERROR(FIND("[",D$8,1)),"[",""), D$8, IF(ISERROR(FIND("]",D$8,1)),"]",""),";" ))</f>
        <v>GRANT EXECUTE, REFERENCES ON [Utility].[GetHalf] TO [R_DemandaDW];</v>
      </c>
    </row>
    <row r="145" spans="1:4" ht="22.5" x14ac:dyDescent="0.2">
      <c r="A145" s="71" t="s">
        <v>144</v>
      </c>
      <c r="B145" s="71" t="s">
        <v>256</v>
      </c>
      <c r="C145" s="72" t="s">
        <v>170</v>
      </c>
      <c r="D145" s="73" t="str">
        <f>IF(OR($A145="", C145=""), "", CONCATENATE("GRANT ", IF(NOT(ISERROR(FIND("H",C145,1))), CONCATENATE("EXECUTE ON XML SCHEMA COLLECTION::",IF(ISERROR(FIND("[",$A145,1)),"[",""), $A145, IF(ISERROR(FIND("]",$A145,1)),"]",""), ".", IF(ISERROR(FIND("[",$B145,1)),"[",""), $B145, IF(ISERROR(FIND("]",$B145,1)),"]","")),IF(NOT(ISERROR(FIND("N",C145,1))), CONCATENATE("SEND ON SERVICE::",IF(ISERROR(FIND("[",$B145,1)),"[",""), $B145, IF(ISERROR(FIND("]",$B145,1)),"]","")),CONCATENATE(LEFT(CONCATENATE(IF(ISERROR(FIND("V",C145,1)),"","RECEIVE, "), IF(ISERROR(FIND("C",C145,1)),"","INSERT, "),IF(ISERROR(FIND("R",C145,1)),"","SELECT, "), IF(ISERROR(FIND("U",C145,1)),"","UPDATE, "),IF(ISERROR(FIND("D",C145,1)),"","DELETE, "), IF(ISERROR(FIND("X",C145,1)),"","EXECUTE, "), IF(ISERROR(FIND("F",C145,1)),"","REFERENCES")),IF(ISERROR(FIND("F",C145,1)), LEN(CONCATENATE(IF(ISERROR(FIND("V",C145,1)),"","RECEIVE, "), IF(ISERROR(FIND("C",C145,1)),"","INSERT, "),IF(ISERROR(FIND("R",C145,1)),"","SELECT, "), IF(ISERROR(FIND("U",C145,1)),"","UPDATE, "),IF(ISERROR(FIND("D",C145,1)),"","DELETE, "), IF(ISERROR(FIND("X",C145,1)),"","EXECUTE, ")))-2,LEN(CONCATENATE(IF(ISERROR(FIND("V",C145,1)),"","RECEIVE, "), IF(ISERROR(FIND("C",C145,1)),"","INSERT, "),IF(ISERROR(FIND("R",C145,1)),"","SELECT, "), IF(ISERROR(FIND("U",C145,1)),"","UPDATE, "),IF(ISERROR(FIND("D",C145,1)),"","DELETE, "), IF(ISERROR(FIND("X",C145,1)),"","EXECUTE, "),IF(ISERROR(FIND("F",C145,1)),"","REFERENCES"))))), " ON ",IF(ISERROR(FIND("[",$A145,1)),"[",""), $A145, IF(ISERROR(FIND("]",$A145,1)),"]",""), ".", IF(ISERROR(FIND("[",$B145,1)),"[",""), $B145, IF(ISERROR(FIND("]",$B145,1)),"]","")))), " TO ", IF(ISERROR(FIND("[",D$8,1)),"[",""), D$8, IF(ISERROR(FIND("]",D$8,1)),"]",""),";" ))</f>
        <v>GRANT EXECUTE, REFERENCES ON [Utility].[GetMonth2] TO [R_DemandaDW];</v>
      </c>
    </row>
    <row r="146" spans="1:4" ht="22.5" x14ac:dyDescent="0.2">
      <c r="A146" s="71" t="s">
        <v>144</v>
      </c>
      <c r="B146" s="71" t="s">
        <v>257</v>
      </c>
      <c r="C146" s="72" t="s">
        <v>170</v>
      </c>
      <c r="D146" s="73" t="str">
        <f>IF(OR($A146="", C146=""), "", CONCATENATE("GRANT ", IF(NOT(ISERROR(FIND("H",C146,1))), CONCATENATE("EXECUTE ON XML SCHEMA COLLECTION::",IF(ISERROR(FIND("[",$A146,1)),"[",""), $A146, IF(ISERROR(FIND("]",$A146,1)),"]",""), ".", IF(ISERROR(FIND("[",$B146,1)),"[",""), $B146, IF(ISERROR(FIND("]",$B146,1)),"]","")),IF(NOT(ISERROR(FIND("N",C146,1))), CONCATENATE("SEND ON SERVICE::",IF(ISERROR(FIND("[",$B146,1)),"[",""), $B146, IF(ISERROR(FIND("]",$B146,1)),"]","")),CONCATENATE(LEFT(CONCATENATE(IF(ISERROR(FIND("V",C146,1)),"","RECEIVE, "), IF(ISERROR(FIND("C",C146,1)),"","INSERT, "),IF(ISERROR(FIND("R",C146,1)),"","SELECT, "), IF(ISERROR(FIND("U",C146,1)),"","UPDATE, "),IF(ISERROR(FIND("D",C146,1)),"","DELETE, "), IF(ISERROR(FIND("X",C146,1)),"","EXECUTE, "), IF(ISERROR(FIND("F",C146,1)),"","REFERENCES")),IF(ISERROR(FIND("F",C146,1)), LEN(CONCATENATE(IF(ISERROR(FIND("V",C146,1)),"","RECEIVE, "), IF(ISERROR(FIND("C",C146,1)),"","INSERT, "),IF(ISERROR(FIND("R",C146,1)),"","SELECT, "), IF(ISERROR(FIND("U",C146,1)),"","UPDATE, "),IF(ISERROR(FIND("D",C146,1)),"","DELETE, "), IF(ISERROR(FIND("X",C146,1)),"","EXECUTE, ")))-2,LEN(CONCATENATE(IF(ISERROR(FIND("V",C146,1)),"","RECEIVE, "), IF(ISERROR(FIND("C",C146,1)),"","INSERT, "),IF(ISERROR(FIND("R",C146,1)),"","SELECT, "), IF(ISERROR(FIND("U",C146,1)),"","UPDATE, "),IF(ISERROR(FIND("D",C146,1)),"","DELETE, "), IF(ISERROR(FIND("X",C146,1)),"","EXECUTE, "),IF(ISERROR(FIND("F",C146,1)),"","REFERENCES"))))), " ON ",IF(ISERROR(FIND("[",$A146,1)),"[",""), $A146, IF(ISERROR(FIND("]",$A146,1)),"]",""), ".", IF(ISERROR(FIND("[",$B146,1)),"[",""), $B146, IF(ISERROR(FIND("]",$B146,1)),"]","")))), " TO ", IF(ISERROR(FIND("[",D$8,1)),"[",""), D$8, IF(ISERROR(FIND("]",D$8,1)),"]",""),";" ))</f>
        <v>GRANT EXECUTE, REFERENCES ON [Utility].[GetQuarter] TO [R_DemandaDW];</v>
      </c>
    </row>
    <row r="147" spans="1:4" ht="33.75" x14ac:dyDescent="0.2">
      <c r="A147" s="71" t="s">
        <v>144</v>
      </c>
      <c r="B147" s="71" t="s">
        <v>258</v>
      </c>
      <c r="C147" s="72" t="s">
        <v>170</v>
      </c>
      <c r="D147" s="73" t="str">
        <f>IF(OR($A147="", C147=""), "", CONCATENATE("GRANT ", IF(NOT(ISERROR(FIND("H",C147,1))), CONCATENATE("EXECUTE ON XML SCHEMA COLLECTION::",IF(ISERROR(FIND("[",$A147,1)),"[",""), $A147, IF(ISERROR(FIND("]",$A147,1)),"]",""), ".", IF(ISERROR(FIND("[",$B147,1)),"[",""), $B147, IF(ISERROR(FIND("]",$B147,1)),"]","")),IF(NOT(ISERROR(FIND("N",C147,1))), CONCATENATE("SEND ON SERVICE::",IF(ISERROR(FIND("[",$B147,1)),"[",""), $B147, IF(ISERROR(FIND("]",$B147,1)),"]","")),CONCATENATE(LEFT(CONCATENATE(IF(ISERROR(FIND("V",C147,1)),"","RECEIVE, "), IF(ISERROR(FIND("C",C147,1)),"","INSERT, "),IF(ISERROR(FIND("R",C147,1)),"","SELECT, "), IF(ISERROR(FIND("U",C147,1)),"","UPDATE, "),IF(ISERROR(FIND("D",C147,1)),"","DELETE, "), IF(ISERROR(FIND("X",C147,1)),"","EXECUTE, "), IF(ISERROR(FIND("F",C147,1)),"","REFERENCES")),IF(ISERROR(FIND("F",C147,1)), LEN(CONCATENATE(IF(ISERROR(FIND("V",C147,1)),"","RECEIVE, "), IF(ISERROR(FIND("C",C147,1)),"","INSERT, "),IF(ISERROR(FIND("R",C147,1)),"","SELECT, "), IF(ISERROR(FIND("U",C147,1)),"","UPDATE, "),IF(ISERROR(FIND("D",C147,1)),"","DELETE, "), IF(ISERROR(FIND("X",C147,1)),"","EXECUTE, ")))-2,LEN(CONCATENATE(IF(ISERROR(FIND("V",C147,1)),"","RECEIVE, "), IF(ISERROR(FIND("C",C147,1)),"","INSERT, "),IF(ISERROR(FIND("R",C147,1)),"","SELECT, "), IF(ISERROR(FIND("U",C147,1)),"","UPDATE, "),IF(ISERROR(FIND("D",C147,1)),"","DELETE, "), IF(ISERROR(FIND("X",C147,1)),"","EXECUTE, "),IF(ISERROR(FIND("F",C147,1)),"","REFERENCES"))))), " ON ",IF(ISERROR(FIND("[",$A147,1)),"[",""), $A147, IF(ISERROR(FIND("]",$A147,1)),"]",""), ".", IF(ISERROR(FIND("[",$B147,1)),"[",""), $B147, IF(ISERROR(FIND("]",$B147,1)),"]","")))), " TO ", IF(ISERROR(FIND("[",D$8,1)),"[",""), D$8, IF(ISERROR(FIND("]",D$8,1)),"]",""),";" ))</f>
        <v>GRANT EXECUTE, REFERENCES ON [Utility].[GetSchedule_NextExecution] TO [R_DemandaDW];</v>
      </c>
    </row>
    <row r="148" spans="1:4" ht="33.75" x14ac:dyDescent="0.2">
      <c r="A148" s="71" t="s">
        <v>144</v>
      </c>
      <c r="B148" s="71" t="s">
        <v>259</v>
      </c>
      <c r="C148" s="72" t="s">
        <v>170</v>
      </c>
      <c r="D148" s="73" t="str">
        <f>IF(OR($A148="", C148=""), "", CONCATENATE("GRANT ", IF(NOT(ISERROR(FIND("H",C148,1))), CONCATENATE("EXECUTE ON XML SCHEMA COLLECTION::",IF(ISERROR(FIND("[",$A148,1)),"[",""), $A148, IF(ISERROR(FIND("]",$A148,1)),"]",""), ".", IF(ISERROR(FIND("[",$B148,1)),"[",""), $B148, IF(ISERROR(FIND("]",$B148,1)),"]","")),IF(NOT(ISERROR(FIND("N",C148,1))), CONCATENATE("SEND ON SERVICE::",IF(ISERROR(FIND("[",$B148,1)),"[",""), $B148, IF(ISERROR(FIND("]",$B148,1)),"]","")),CONCATENATE(LEFT(CONCATENATE(IF(ISERROR(FIND("V",C148,1)),"","RECEIVE, "), IF(ISERROR(FIND("C",C148,1)),"","INSERT, "),IF(ISERROR(FIND("R",C148,1)),"","SELECT, "), IF(ISERROR(FIND("U",C148,1)),"","UPDATE, "),IF(ISERROR(FIND("D",C148,1)),"","DELETE, "), IF(ISERROR(FIND("X",C148,1)),"","EXECUTE, "), IF(ISERROR(FIND("F",C148,1)),"","REFERENCES")),IF(ISERROR(FIND("F",C148,1)), LEN(CONCATENATE(IF(ISERROR(FIND("V",C148,1)),"","RECEIVE, "), IF(ISERROR(FIND("C",C148,1)),"","INSERT, "),IF(ISERROR(FIND("R",C148,1)),"","SELECT, "), IF(ISERROR(FIND("U",C148,1)),"","UPDATE, "),IF(ISERROR(FIND("D",C148,1)),"","DELETE, "), IF(ISERROR(FIND("X",C148,1)),"","EXECUTE, ")))-2,LEN(CONCATENATE(IF(ISERROR(FIND("V",C148,1)),"","RECEIVE, "), IF(ISERROR(FIND("C",C148,1)),"","INSERT, "),IF(ISERROR(FIND("R",C148,1)),"","SELECT, "), IF(ISERROR(FIND("U",C148,1)),"","UPDATE, "),IF(ISERROR(FIND("D",C148,1)),"","DELETE, "), IF(ISERROR(FIND("X",C148,1)),"","EXECUTE, "),IF(ISERROR(FIND("F",C148,1)),"","REFERENCES"))))), " ON ",IF(ISERROR(FIND("[",$A148,1)),"[",""), $A148, IF(ISERROR(FIND("]",$A148,1)),"]",""), ".", IF(ISERROR(FIND("[",$B148,1)),"[",""), $B148, IF(ISERROR(FIND("]",$B148,1)),"]","")))), " TO ", IF(ISERROR(FIND("[",D$8,1)),"[",""), D$8, IF(ISERROR(FIND("]",D$8,1)),"]",""),";" ))</f>
        <v>GRANT EXECUTE, REFERENCES ON [Utility].[GetSchedule_NextExecutionDay] TO [R_DemandaDW];</v>
      </c>
    </row>
    <row r="149" spans="1:4" ht="33.75" x14ac:dyDescent="0.2">
      <c r="A149" s="71" t="s">
        <v>144</v>
      </c>
      <c r="B149" s="71" t="s">
        <v>260</v>
      </c>
      <c r="C149" s="72" t="s">
        <v>170</v>
      </c>
      <c r="D149" s="73" t="str">
        <f>IF(OR($A149="", C149=""), "", CONCATENATE("GRANT ", IF(NOT(ISERROR(FIND("H",C149,1))), CONCATENATE("EXECUTE ON XML SCHEMA COLLECTION::",IF(ISERROR(FIND("[",$A149,1)),"[",""), $A149, IF(ISERROR(FIND("]",$A149,1)),"]",""), ".", IF(ISERROR(FIND("[",$B149,1)),"[",""), $B149, IF(ISERROR(FIND("]",$B149,1)),"]","")),IF(NOT(ISERROR(FIND("N",C149,1))), CONCATENATE("SEND ON SERVICE::",IF(ISERROR(FIND("[",$B149,1)),"[",""), $B149, IF(ISERROR(FIND("]",$B149,1)),"]","")),CONCATENATE(LEFT(CONCATENATE(IF(ISERROR(FIND("V",C149,1)),"","RECEIVE, "), IF(ISERROR(FIND("C",C149,1)),"","INSERT, "),IF(ISERROR(FIND("R",C149,1)),"","SELECT, "), IF(ISERROR(FIND("U",C149,1)),"","UPDATE, "),IF(ISERROR(FIND("D",C149,1)),"","DELETE, "), IF(ISERROR(FIND("X",C149,1)),"","EXECUTE, "), IF(ISERROR(FIND("F",C149,1)),"","REFERENCES")),IF(ISERROR(FIND("F",C149,1)), LEN(CONCATENATE(IF(ISERROR(FIND("V",C149,1)),"","RECEIVE, "), IF(ISERROR(FIND("C",C149,1)),"","INSERT, "),IF(ISERROR(FIND("R",C149,1)),"","SELECT, "), IF(ISERROR(FIND("U",C149,1)),"","UPDATE, "),IF(ISERROR(FIND("D",C149,1)),"","DELETE, "), IF(ISERROR(FIND("X",C149,1)),"","EXECUTE, ")))-2,LEN(CONCATENATE(IF(ISERROR(FIND("V",C149,1)),"","RECEIVE, "), IF(ISERROR(FIND("C",C149,1)),"","INSERT, "),IF(ISERROR(FIND("R",C149,1)),"","SELECT, "), IF(ISERROR(FIND("U",C149,1)),"","UPDATE, "),IF(ISERROR(FIND("D",C149,1)),"","DELETE, "), IF(ISERROR(FIND("X",C149,1)),"","EXECUTE, "),IF(ISERROR(FIND("F",C149,1)),"","REFERENCES"))))), " ON ",IF(ISERROR(FIND("[",$A149,1)),"[",""), $A149, IF(ISERROR(FIND("]",$A149,1)),"]",""), ".", IF(ISERROR(FIND("[",$B149,1)),"[",""), $B149, IF(ISERROR(FIND("]",$B149,1)),"]","")))), " TO ", IF(ISERROR(FIND("[",D$8,1)),"[",""), D$8, IF(ISERROR(FIND("]",D$8,1)),"]",""),";" ))</f>
        <v>GRANT EXECUTE, REFERENCES ON [Utility].[GetSchedule_NextExecutionMoth] TO [R_DemandaDW];</v>
      </c>
    </row>
    <row r="150" spans="1:4" ht="33.75" x14ac:dyDescent="0.2">
      <c r="A150" s="71" t="s">
        <v>144</v>
      </c>
      <c r="B150" s="71" t="s">
        <v>261</v>
      </c>
      <c r="C150" s="72" t="s">
        <v>170</v>
      </c>
      <c r="D150" s="73" t="str">
        <f>IF(OR($A150="", C150=""), "", CONCATENATE("GRANT ", IF(NOT(ISERROR(FIND("H",C150,1))), CONCATENATE("EXECUTE ON XML SCHEMA COLLECTION::",IF(ISERROR(FIND("[",$A150,1)),"[",""), $A150, IF(ISERROR(FIND("]",$A150,1)),"]",""), ".", IF(ISERROR(FIND("[",$B150,1)),"[",""), $B150, IF(ISERROR(FIND("]",$B150,1)),"]","")),IF(NOT(ISERROR(FIND("N",C150,1))), CONCATENATE("SEND ON SERVICE::",IF(ISERROR(FIND("[",$B150,1)),"[",""), $B150, IF(ISERROR(FIND("]",$B150,1)),"]","")),CONCATENATE(LEFT(CONCATENATE(IF(ISERROR(FIND("V",C150,1)),"","RECEIVE, "), IF(ISERROR(FIND("C",C150,1)),"","INSERT, "),IF(ISERROR(FIND("R",C150,1)),"","SELECT, "), IF(ISERROR(FIND("U",C150,1)),"","UPDATE, "),IF(ISERROR(FIND("D",C150,1)),"","DELETE, "), IF(ISERROR(FIND("X",C150,1)),"","EXECUTE, "), IF(ISERROR(FIND("F",C150,1)),"","REFERENCES")),IF(ISERROR(FIND("F",C150,1)), LEN(CONCATENATE(IF(ISERROR(FIND("V",C150,1)),"","RECEIVE, "), IF(ISERROR(FIND("C",C150,1)),"","INSERT, "),IF(ISERROR(FIND("R",C150,1)),"","SELECT, "), IF(ISERROR(FIND("U",C150,1)),"","UPDATE, "),IF(ISERROR(FIND("D",C150,1)),"","DELETE, "), IF(ISERROR(FIND("X",C150,1)),"","EXECUTE, ")))-2,LEN(CONCATENATE(IF(ISERROR(FIND("V",C150,1)),"","RECEIVE, "), IF(ISERROR(FIND("C",C150,1)),"","INSERT, "),IF(ISERROR(FIND("R",C150,1)),"","SELECT, "), IF(ISERROR(FIND("U",C150,1)),"","UPDATE, "),IF(ISERROR(FIND("D",C150,1)),"","DELETE, "), IF(ISERROR(FIND("X",C150,1)),"","EXECUTE, "),IF(ISERROR(FIND("F",C150,1)),"","REFERENCES"))))), " ON ",IF(ISERROR(FIND("[",$A150,1)),"[",""), $A150, IF(ISERROR(FIND("]",$A150,1)),"]",""), ".", IF(ISERROR(FIND("[",$B150,1)),"[",""), $B150, IF(ISERROR(FIND("]",$B150,1)),"]","")))), " TO ", IF(ISERROR(FIND("[",D$8,1)),"[",""), D$8, IF(ISERROR(FIND("]",D$8,1)),"]",""),";" ))</f>
        <v>GRANT EXECUTE, REFERENCES ON [Utility].[GetSchedule_NextExecutionWeek] TO [R_DemandaDW];</v>
      </c>
    </row>
    <row r="151" spans="1:4" ht="22.5" x14ac:dyDescent="0.2">
      <c r="A151" s="71" t="s">
        <v>144</v>
      </c>
      <c r="B151" s="71" t="s">
        <v>262</v>
      </c>
      <c r="C151" s="72" t="s">
        <v>170</v>
      </c>
      <c r="D151" s="73" t="str">
        <f>IF(OR($A151="", C151=""), "", CONCATENATE("GRANT ", IF(NOT(ISERROR(FIND("H",C151,1))), CONCATENATE("EXECUTE ON XML SCHEMA COLLECTION::",IF(ISERROR(FIND("[",$A151,1)),"[",""), $A151, IF(ISERROR(FIND("]",$A151,1)),"]",""), ".", IF(ISERROR(FIND("[",$B151,1)),"[",""), $B151, IF(ISERROR(FIND("]",$B151,1)),"]","")),IF(NOT(ISERROR(FIND("N",C151,1))), CONCATENATE("SEND ON SERVICE::",IF(ISERROR(FIND("[",$B151,1)),"[",""), $B151, IF(ISERROR(FIND("]",$B151,1)),"]","")),CONCATENATE(LEFT(CONCATENATE(IF(ISERROR(FIND("V",C151,1)),"","RECEIVE, "), IF(ISERROR(FIND("C",C151,1)),"","INSERT, "),IF(ISERROR(FIND("R",C151,1)),"","SELECT, "), IF(ISERROR(FIND("U",C151,1)),"","UPDATE, "),IF(ISERROR(FIND("D",C151,1)),"","DELETE, "), IF(ISERROR(FIND("X",C151,1)),"","EXECUTE, "), IF(ISERROR(FIND("F",C151,1)),"","REFERENCES")),IF(ISERROR(FIND("F",C151,1)), LEN(CONCATENATE(IF(ISERROR(FIND("V",C151,1)),"","RECEIVE, "), IF(ISERROR(FIND("C",C151,1)),"","INSERT, "),IF(ISERROR(FIND("R",C151,1)),"","SELECT, "), IF(ISERROR(FIND("U",C151,1)),"","UPDATE, "),IF(ISERROR(FIND("D",C151,1)),"","DELETE, "), IF(ISERROR(FIND("X",C151,1)),"","EXECUTE, ")))-2,LEN(CONCATENATE(IF(ISERROR(FIND("V",C151,1)),"","RECEIVE, "), IF(ISERROR(FIND("C",C151,1)),"","INSERT, "),IF(ISERROR(FIND("R",C151,1)),"","SELECT, "), IF(ISERROR(FIND("U",C151,1)),"","UPDATE, "),IF(ISERROR(FIND("D",C151,1)),"","DELETE, "), IF(ISERROR(FIND("X",C151,1)),"","EXECUTE, "),IF(ISERROR(FIND("F",C151,1)),"","REFERENCES"))))), " ON ",IF(ISERROR(FIND("[",$A151,1)),"[",""), $A151, IF(ISERROR(FIND("]",$A151,1)),"]",""), ".", IF(ISERROR(FIND("[",$B151,1)),"[",""), $B151, IF(ISERROR(FIND("]",$B151,1)),"]","")))), " TO ", IF(ISERROR(FIND("[",D$8,1)),"[",""), D$8, IF(ISERROR(FIND("]",D$8,1)),"]",""),";" ))</f>
        <v>GRANT EXECUTE, REFERENCES ON [Utility].[GetStartOfDatePart] TO [R_DemandaDW];</v>
      </c>
    </row>
    <row r="152" spans="1:4" ht="22.5" x14ac:dyDescent="0.2">
      <c r="A152" s="71" t="s">
        <v>144</v>
      </c>
      <c r="B152" s="71" t="s">
        <v>263</v>
      </c>
      <c r="C152" s="72" t="s">
        <v>170</v>
      </c>
      <c r="D152" s="73" t="str">
        <f>IF(OR($A152="", C152=""), "", CONCATENATE("GRANT ", IF(NOT(ISERROR(FIND("H",C152,1))), CONCATENATE("EXECUTE ON XML SCHEMA COLLECTION::",IF(ISERROR(FIND("[",$A152,1)),"[",""), $A152, IF(ISERROR(FIND("]",$A152,1)),"]",""), ".", IF(ISERROR(FIND("[",$B152,1)),"[",""), $B152, IF(ISERROR(FIND("]",$B152,1)),"]","")),IF(NOT(ISERROR(FIND("N",C152,1))), CONCATENATE("SEND ON SERVICE::",IF(ISERROR(FIND("[",$B152,1)),"[",""), $B152, IF(ISERROR(FIND("]",$B152,1)),"]","")),CONCATENATE(LEFT(CONCATENATE(IF(ISERROR(FIND("V",C152,1)),"","RECEIVE, "), IF(ISERROR(FIND("C",C152,1)),"","INSERT, "),IF(ISERROR(FIND("R",C152,1)),"","SELECT, "), IF(ISERROR(FIND("U",C152,1)),"","UPDATE, "),IF(ISERROR(FIND("D",C152,1)),"","DELETE, "), IF(ISERROR(FIND("X",C152,1)),"","EXECUTE, "), IF(ISERROR(FIND("F",C152,1)),"","REFERENCES")),IF(ISERROR(FIND("F",C152,1)), LEN(CONCATENATE(IF(ISERROR(FIND("V",C152,1)),"","RECEIVE, "), IF(ISERROR(FIND("C",C152,1)),"","INSERT, "),IF(ISERROR(FIND("R",C152,1)),"","SELECT, "), IF(ISERROR(FIND("U",C152,1)),"","UPDATE, "),IF(ISERROR(FIND("D",C152,1)),"","DELETE, "), IF(ISERROR(FIND("X",C152,1)),"","EXECUTE, ")))-2,LEN(CONCATENATE(IF(ISERROR(FIND("V",C152,1)),"","RECEIVE, "), IF(ISERROR(FIND("C",C152,1)),"","INSERT, "),IF(ISERROR(FIND("R",C152,1)),"","SELECT, "), IF(ISERROR(FIND("U",C152,1)),"","UPDATE, "),IF(ISERROR(FIND("D",C152,1)),"","DELETE, "), IF(ISERROR(FIND("X",C152,1)),"","EXECUTE, "),IF(ISERROR(FIND("F",C152,1)),"","REFERENCES"))))), " ON ",IF(ISERROR(FIND("[",$A152,1)),"[",""), $A152, IF(ISERROR(FIND("]",$A152,1)),"]",""), ".", IF(ISERROR(FIND("[",$B152,1)),"[",""), $B152, IF(ISERROR(FIND("]",$B152,1)),"]","")))), " TO ", IF(ISERROR(FIND("[",D$8,1)),"[",""), D$8, IF(ISERROR(FIND("]",D$8,1)),"]",""),";" ))</f>
        <v>GRANT EXECUTE, REFERENCES ON [Utility].[GetStartOfDay] TO [R_DemandaDW];</v>
      </c>
    </row>
    <row r="153" spans="1:4" ht="22.5" x14ac:dyDescent="0.2">
      <c r="A153" s="71" t="s">
        <v>144</v>
      </c>
      <c r="B153" s="71" t="s">
        <v>264</v>
      </c>
      <c r="C153" s="72" t="s">
        <v>170</v>
      </c>
      <c r="D153" s="73" t="str">
        <f>IF(OR($A153="", C153=""), "", CONCATENATE("GRANT ", IF(NOT(ISERROR(FIND("H",C153,1))), CONCATENATE("EXECUTE ON XML SCHEMA COLLECTION::",IF(ISERROR(FIND("[",$A153,1)),"[",""), $A153, IF(ISERROR(FIND("]",$A153,1)),"]",""), ".", IF(ISERROR(FIND("[",$B153,1)),"[",""), $B153, IF(ISERROR(FIND("]",$B153,1)),"]","")),IF(NOT(ISERROR(FIND("N",C153,1))), CONCATENATE("SEND ON SERVICE::",IF(ISERROR(FIND("[",$B153,1)),"[",""), $B153, IF(ISERROR(FIND("]",$B153,1)),"]","")),CONCATENATE(LEFT(CONCATENATE(IF(ISERROR(FIND("V",C153,1)),"","RECEIVE, "), IF(ISERROR(FIND("C",C153,1)),"","INSERT, "),IF(ISERROR(FIND("R",C153,1)),"","SELECT, "), IF(ISERROR(FIND("U",C153,1)),"","UPDATE, "),IF(ISERROR(FIND("D",C153,1)),"","DELETE, "), IF(ISERROR(FIND("X",C153,1)),"","EXECUTE, "), IF(ISERROR(FIND("F",C153,1)),"","REFERENCES")),IF(ISERROR(FIND("F",C153,1)), LEN(CONCATENATE(IF(ISERROR(FIND("V",C153,1)),"","RECEIVE, "), IF(ISERROR(FIND("C",C153,1)),"","INSERT, "),IF(ISERROR(FIND("R",C153,1)),"","SELECT, "), IF(ISERROR(FIND("U",C153,1)),"","UPDATE, "),IF(ISERROR(FIND("D",C153,1)),"","DELETE, "), IF(ISERROR(FIND("X",C153,1)),"","EXECUTE, ")))-2,LEN(CONCATENATE(IF(ISERROR(FIND("V",C153,1)),"","RECEIVE, "), IF(ISERROR(FIND("C",C153,1)),"","INSERT, "),IF(ISERROR(FIND("R",C153,1)),"","SELECT, "), IF(ISERROR(FIND("U",C153,1)),"","UPDATE, "),IF(ISERROR(FIND("D",C153,1)),"","DELETE, "), IF(ISERROR(FIND("X",C153,1)),"","EXECUTE, "),IF(ISERROR(FIND("F",C153,1)),"","REFERENCES"))))), " ON ",IF(ISERROR(FIND("[",$A153,1)),"[",""), $A153, IF(ISERROR(FIND("]",$A153,1)),"]",""), ".", IF(ISERROR(FIND("[",$B153,1)),"[",""), $B153, IF(ISERROR(FIND("]",$B153,1)),"]","")))), " TO ", IF(ISERROR(FIND("[",D$8,1)),"[",""), D$8, IF(ISERROR(FIND("]",D$8,1)),"]",""),";" ))</f>
        <v>GRANT EXECUTE, REFERENCES ON [Utility].[GetStartOfHalf] TO [R_DemandaDW];</v>
      </c>
    </row>
    <row r="154" spans="1:4" ht="22.5" x14ac:dyDescent="0.2">
      <c r="A154" s="71" t="s">
        <v>144</v>
      </c>
      <c r="B154" s="71" t="s">
        <v>265</v>
      </c>
      <c r="C154" s="72" t="s">
        <v>170</v>
      </c>
      <c r="D154" s="73" t="str">
        <f>IF(OR($A154="", C154=""), "", CONCATENATE("GRANT ", IF(NOT(ISERROR(FIND("H",C154,1))), CONCATENATE("EXECUTE ON XML SCHEMA COLLECTION::",IF(ISERROR(FIND("[",$A154,1)),"[",""), $A154, IF(ISERROR(FIND("]",$A154,1)),"]",""), ".", IF(ISERROR(FIND("[",$B154,1)),"[",""), $B154, IF(ISERROR(FIND("]",$B154,1)),"]","")),IF(NOT(ISERROR(FIND("N",C154,1))), CONCATENATE("SEND ON SERVICE::",IF(ISERROR(FIND("[",$B154,1)),"[",""), $B154, IF(ISERROR(FIND("]",$B154,1)),"]","")),CONCATENATE(LEFT(CONCATENATE(IF(ISERROR(FIND("V",C154,1)),"","RECEIVE, "), IF(ISERROR(FIND("C",C154,1)),"","INSERT, "),IF(ISERROR(FIND("R",C154,1)),"","SELECT, "), IF(ISERROR(FIND("U",C154,1)),"","UPDATE, "),IF(ISERROR(FIND("D",C154,1)),"","DELETE, "), IF(ISERROR(FIND("X",C154,1)),"","EXECUTE, "), IF(ISERROR(FIND("F",C154,1)),"","REFERENCES")),IF(ISERROR(FIND("F",C154,1)), LEN(CONCATENATE(IF(ISERROR(FIND("V",C154,1)),"","RECEIVE, "), IF(ISERROR(FIND("C",C154,1)),"","INSERT, "),IF(ISERROR(FIND("R",C154,1)),"","SELECT, "), IF(ISERROR(FIND("U",C154,1)),"","UPDATE, "),IF(ISERROR(FIND("D",C154,1)),"","DELETE, "), IF(ISERROR(FIND("X",C154,1)),"","EXECUTE, ")))-2,LEN(CONCATENATE(IF(ISERROR(FIND("V",C154,1)),"","RECEIVE, "), IF(ISERROR(FIND("C",C154,1)),"","INSERT, "),IF(ISERROR(FIND("R",C154,1)),"","SELECT, "), IF(ISERROR(FIND("U",C154,1)),"","UPDATE, "),IF(ISERROR(FIND("D",C154,1)),"","DELETE, "), IF(ISERROR(FIND("X",C154,1)),"","EXECUTE, "),IF(ISERROR(FIND("F",C154,1)),"","REFERENCES"))))), " ON ",IF(ISERROR(FIND("[",$A154,1)),"[",""), $A154, IF(ISERROR(FIND("]",$A154,1)),"]",""), ".", IF(ISERROR(FIND("[",$B154,1)),"[",""), $B154, IF(ISERROR(FIND("]",$B154,1)),"]","")))), " TO ", IF(ISERROR(FIND("[",D$8,1)),"[",""), D$8, IF(ISERROR(FIND("]",D$8,1)),"]",""),";" ))</f>
        <v>GRANT EXECUTE, REFERENCES ON [Utility].[GetStartOfMonth] TO [R_DemandaDW];</v>
      </c>
    </row>
    <row r="155" spans="1:4" ht="22.5" x14ac:dyDescent="0.2">
      <c r="A155" s="71" t="s">
        <v>144</v>
      </c>
      <c r="B155" s="71" t="s">
        <v>266</v>
      </c>
      <c r="C155" s="72" t="s">
        <v>170</v>
      </c>
      <c r="D155" s="73" t="str">
        <f>IF(OR($A155="", C155=""), "", CONCATENATE("GRANT ", IF(NOT(ISERROR(FIND("H",C155,1))), CONCATENATE("EXECUTE ON XML SCHEMA COLLECTION::",IF(ISERROR(FIND("[",$A155,1)),"[",""), $A155, IF(ISERROR(FIND("]",$A155,1)),"]",""), ".", IF(ISERROR(FIND("[",$B155,1)),"[",""), $B155, IF(ISERROR(FIND("]",$B155,1)),"]","")),IF(NOT(ISERROR(FIND("N",C155,1))), CONCATENATE("SEND ON SERVICE::",IF(ISERROR(FIND("[",$B155,1)),"[",""), $B155, IF(ISERROR(FIND("]",$B155,1)),"]","")),CONCATENATE(LEFT(CONCATENATE(IF(ISERROR(FIND("V",C155,1)),"","RECEIVE, "), IF(ISERROR(FIND("C",C155,1)),"","INSERT, "),IF(ISERROR(FIND("R",C155,1)),"","SELECT, "), IF(ISERROR(FIND("U",C155,1)),"","UPDATE, "),IF(ISERROR(FIND("D",C155,1)),"","DELETE, "), IF(ISERROR(FIND("X",C155,1)),"","EXECUTE, "), IF(ISERROR(FIND("F",C155,1)),"","REFERENCES")),IF(ISERROR(FIND("F",C155,1)), LEN(CONCATENATE(IF(ISERROR(FIND("V",C155,1)),"","RECEIVE, "), IF(ISERROR(FIND("C",C155,1)),"","INSERT, "),IF(ISERROR(FIND("R",C155,1)),"","SELECT, "), IF(ISERROR(FIND("U",C155,1)),"","UPDATE, "),IF(ISERROR(FIND("D",C155,1)),"","DELETE, "), IF(ISERROR(FIND("X",C155,1)),"","EXECUTE, ")))-2,LEN(CONCATENATE(IF(ISERROR(FIND("V",C155,1)),"","RECEIVE, "), IF(ISERROR(FIND("C",C155,1)),"","INSERT, "),IF(ISERROR(FIND("R",C155,1)),"","SELECT, "), IF(ISERROR(FIND("U",C155,1)),"","UPDATE, "),IF(ISERROR(FIND("D",C155,1)),"","DELETE, "), IF(ISERROR(FIND("X",C155,1)),"","EXECUTE, "),IF(ISERROR(FIND("F",C155,1)),"","REFERENCES"))))), " ON ",IF(ISERROR(FIND("[",$A155,1)),"[",""), $A155, IF(ISERROR(FIND("]",$A155,1)),"]",""), ".", IF(ISERROR(FIND("[",$B155,1)),"[",""), $B155, IF(ISERROR(FIND("]",$B155,1)),"]","")))), " TO ", IF(ISERROR(FIND("[",D$8,1)),"[",""), D$8, IF(ISERROR(FIND("]",D$8,1)),"]",""),";" ))</f>
        <v>GRANT EXECUTE, REFERENCES ON [Utility].[GetStartOfMonth2] TO [R_DemandaDW];</v>
      </c>
    </row>
    <row r="156" spans="1:4" ht="22.5" x14ac:dyDescent="0.2">
      <c r="A156" s="71" t="s">
        <v>144</v>
      </c>
      <c r="B156" s="71" t="s">
        <v>267</v>
      </c>
      <c r="C156" s="72" t="s">
        <v>170</v>
      </c>
      <c r="D156" s="73" t="str">
        <f>IF(OR($A156="", C156=""), "", CONCATENATE("GRANT ", IF(NOT(ISERROR(FIND("H",C156,1))), CONCATENATE("EXECUTE ON XML SCHEMA COLLECTION::",IF(ISERROR(FIND("[",$A156,1)),"[",""), $A156, IF(ISERROR(FIND("]",$A156,1)),"]",""), ".", IF(ISERROR(FIND("[",$B156,1)),"[",""), $B156, IF(ISERROR(FIND("]",$B156,1)),"]","")),IF(NOT(ISERROR(FIND("N",C156,1))), CONCATENATE("SEND ON SERVICE::",IF(ISERROR(FIND("[",$B156,1)),"[",""), $B156, IF(ISERROR(FIND("]",$B156,1)),"]","")),CONCATENATE(LEFT(CONCATENATE(IF(ISERROR(FIND("V",C156,1)),"","RECEIVE, "), IF(ISERROR(FIND("C",C156,1)),"","INSERT, "),IF(ISERROR(FIND("R",C156,1)),"","SELECT, "), IF(ISERROR(FIND("U",C156,1)),"","UPDATE, "),IF(ISERROR(FIND("D",C156,1)),"","DELETE, "), IF(ISERROR(FIND("X",C156,1)),"","EXECUTE, "), IF(ISERROR(FIND("F",C156,1)),"","REFERENCES")),IF(ISERROR(FIND("F",C156,1)), LEN(CONCATENATE(IF(ISERROR(FIND("V",C156,1)),"","RECEIVE, "), IF(ISERROR(FIND("C",C156,1)),"","INSERT, "),IF(ISERROR(FIND("R",C156,1)),"","SELECT, "), IF(ISERROR(FIND("U",C156,1)),"","UPDATE, "),IF(ISERROR(FIND("D",C156,1)),"","DELETE, "), IF(ISERROR(FIND("X",C156,1)),"","EXECUTE, ")))-2,LEN(CONCATENATE(IF(ISERROR(FIND("V",C156,1)),"","RECEIVE, "), IF(ISERROR(FIND("C",C156,1)),"","INSERT, "),IF(ISERROR(FIND("R",C156,1)),"","SELECT, "), IF(ISERROR(FIND("U",C156,1)),"","UPDATE, "),IF(ISERROR(FIND("D",C156,1)),"","DELETE, "), IF(ISERROR(FIND("X",C156,1)),"","EXECUTE, "),IF(ISERROR(FIND("F",C156,1)),"","REFERENCES"))))), " ON ",IF(ISERROR(FIND("[",$A156,1)),"[",""), $A156, IF(ISERROR(FIND("]",$A156,1)),"]",""), ".", IF(ISERROR(FIND("[",$B156,1)),"[",""), $B156, IF(ISERROR(FIND("]",$B156,1)),"]","")))), " TO ", IF(ISERROR(FIND("[",D$8,1)),"[",""), D$8, IF(ISERROR(FIND("]",D$8,1)),"]",""),";" ))</f>
        <v>GRANT EXECUTE, REFERENCES ON [Utility].[GetStartOfQuarter] TO [R_DemandaDW];</v>
      </c>
    </row>
    <row r="157" spans="1:4" ht="22.5" x14ac:dyDescent="0.2">
      <c r="A157" s="71" t="s">
        <v>144</v>
      </c>
      <c r="B157" s="71" t="s">
        <v>268</v>
      </c>
      <c r="C157" s="72" t="s">
        <v>170</v>
      </c>
      <c r="D157" s="73" t="str">
        <f>IF(OR($A157="", C157=""), "", CONCATENATE("GRANT ", IF(NOT(ISERROR(FIND("H",C157,1))), CONCATENATE("EXECUTE ON XML SCHEMA COLLECTION::",IF(ISERROR(FIND("[",$A157,1)),"[",""), $A157, IF(ISERROR(FIND("]",$A157,1)),"]",""), ".", IF(ISERROR(FIND("[",$B157,1)),"[",""), $B157, IF(ISERROR(FIND("]",$B157,1)),"]","")),IF(NOT(ISERROR(FIND("N",C157,1))), CONCATENATE("SEND ON SERVICE::",IF(ISERROR(FIND("[",$B157,1)),"[",""), $B157, IF(ISERROR(FIND("]",$B157,1)),"]","")),CONCATENATE(LEFT(CONCATENATE(IF(ISERROR(FIND("V",C157,1)),"","RECEIVE, "), IF(ISERROR(FIND("C",C157,1)),"","INSERT, "),IF(ISERROR(FIND("R",C157,1)),"","SELECT, "), IF(ISERROR(FIND("U",C157,1)),"","UPDATE, "),IF(ISERROR(FIND("D",C157,1)),"","DELETE, "), IF(ISERROR(FIND("X",C157,1)),"","EXECUTE, "), IF(ISERROR(FIND("F",C157,1)),"","REFERENCES")),IF(ISERROR(FIND("F",C157,1)), LEN(CONCATENATE(IF(ISERROR(FIND("V",C157,1)),"","RECEIVE, "), IF(ISERROR(FIND("C",C157,1)),"","INSERT, "),IF(ISERROR(FIND("R",C157,1)),"","SELECT, "), IF(ISERROR(FIND("U",C157,1)),"","UPDATE, "),IF(ISERROR(FIND("D",C157,1)),"","DELETE, "), IF(ISERROR(FIND("X",C157,1)),"","EXECUTE, ")))-2,LEN(CONCATENATE(IF(ISERROR(FIND("V",C157,1)),"","RECEIVE, "), IF(ISERROR(FIND("C",C157,1)),"","INSERT, "),IF(ISERROR(FIND("R",C157,1)),"","SELECT, "), IF(ISERROR(FIND("U",C157,1)),"","UPDATE, "),IF(ISERROR(FIND("D",C157,1)),"","DELETE, "), IF(ISERROR(FIND("X",C157,1)),"","EXECUTE, "),IF(ISERROR(FIND("F",C157,1)),"","REFERENCES"))))), " ON ",IF(ISERROR(FIND("[",$A157,1)),"[",""), $A157, IF(ISERROR(FIND("]",$A157,1)),"]",""), ".", IF(ISERROR(FIND("[",$B157,1)),"[",""), $B157, IF(ISERROR(FIND("]",$B157,1)),"]","")))), " TO ", IF(ISERROR(FIND("[",D$8,1)),"[",""), D$8, IF(ISERROR(FIND("]",D$8,1)),"]",""),";" ))</f>
        <v>GRANT EXECUTE, REFERENCES ON [Utility].[GetStartOfWeek] TO [R_DemandaDW];</v>
      </c>
    </row>
    <row r="158" spans="1:4" ht="22.5" x14ac:dyDescent="0.2">
      <c r="A158" s="71" t="s">
        <v>144</v>
      </c>
      <c r="B158" s="71" t="s">
        <v>269</v>
      </c>
      <c r="C158" s="72" t="s">
        <v>170</v>
      </c>
      <c r="D158" s="73" t="str">
        <f>IF(OR($A158="", C158=""), "", CONCATENATE("GRANT ", IF(NOT(ISERROR(FIND("H",C158,1))), CONCATENATE("EXECUTE ON XML SCHEMA COLLECTION::",IF(ISERROR(FIND("[",$A158,1)),"[",""), $A158, IF(ISERROR(FIND("]",$A158,1)),"]",""), ".", IF(ISERROR(FIND("[",$B158,1)),"[",""), $B158, IF(ISERROR(FIND("]",$B158,1)),"]","")),IF(NOT(ISERROR(FIND("N",C158,1))), CONCATENATE("SEND ON SERVICE::",IF(ISERROR(FIND("[",$B158,1)),"[",""), $B158, IF(ISERROR(FIND("]",$B158,1)),"]","")),CONCATENATE(LEFT(CONCATENATE(IF(ISERROR(FIND("V",C158,1)),"","RECEIVE, "), IF(ISERROR(FIND("C",C158,1)),"","INSERT, "),IF(ISERROR(FIND("R",C158,1)),"","SELECT, "), IF(ISERROR(FIND("U",C158,1)),"","UPDATE, "),IF(ISERROR(FIND("D",C158,1)),"","DELETE, "), IF(ISERROR(FIND("X",C158,1)),"","EXECUTE, "), IF(ISERROR(FIND("F",C158,1)),"","REFERENCES")),IF(ISERROR(FIND("F",C158,1)), LEN(CONCATENATE(IF(ISERROR(FIND("V",C158,1)),"","RECEIVE, "), IF(ISERROR(FIND("C",C158,1)),"","INSERT, "),IF(ISERROR(FIND("R",C158,1)),"","SELECT, "), IF(ISERROR(FIND("U",C158,1)),"","UPDATE, "),IF(ISERROR(FIND("D",C158,1)),"","DELETE, "), IF(ISERROR(FIND("X",C158,1)),"","EXECUTE, ")))-2,LEN(CONCATENATE(IF(ISERROR(FIND("V",C158,1)),"","RECEIVE, "), IF(ISERROR(FIND("C",C158,1)),"","INSERT, "),IF(ISERROR(FIND("R",C158,1)),"","SELECT, "), IF(ISERROR(FIND("U",C158,1)),"","UPDATE, "),IF(ISERROR(FIND("D",C158,1)),"","DELETE, "), IF(ISERROR(FIND("X",C158,1)),"","EXECUTE, "),IF(ISERROR(FIND("F",C158,1)),"","REFERENCES"))))), " ON ",IF(ISERROR(FIND("[",$A158,1)),"[",""), $A158, IF(ISERROR(FIND("]",$A158,1)),"]",""), ".", IF(ISERROR(FIND("[",$B158,1)),"[",""), $B158, IF(ISERROR(FIND("]",$B158,1)),"]","")))), " TO ", IF(ISERROR(FIND("[",D$8,1)),"[",""), D$8, IF(ISERROR(FIND("]",D$8,1)),"]",""),";" ))</f>
        <v>GRANT EXECUTE, REFERENCES ON [Utility].[GetStartOfYear] TO [R_DemandaDW];</v>
      </c>
    </row>
    <row r="159" spans="1:4" ht="22.5" x14ac:dyDescent="0.2">
      <c r="A159" s="71" t="s">
        <v>144</v>
      </c>
      <c r="B159" s="71" t="s">
        <v>270</v>
      </c>
      <c r="C159" s="72" t="s">
        <v>170</v>
      </c>
      <c r="D159" s="73" t="str">
        <f>IF(OR($A159="", C159=""), "", CONCATENATE("GRANT ", IF(NOT(ISERROR(FIND("H",C159,1))), CONCATENATE("EXECUTE ON XML SCHEMA COLLECTION::",IF(ISERROR(FIND("[",$A159,1)),"[",""), $A159, IF(ISERROR(FIND("]",$A159,1)),"]",""), ".", IF(ISERROR(FIND("[",$B159,1)),"[",""), $B159, IF(ISERROR(FIND("]",$B159,1)),"]","")),IF(NOT(ISERROR(FIND("N",C159,1))), CONCATENATE("SEND ON SERVICE::",IF(ISERROR(FIND("[",$B159,1)),"[",""), $B159, IF(ISERROR(FIND("]",$B159,1)),"]","")),CONCATENATE(LEFT(CONCATENATE(IF(ISERROR(FIND("V",C159,1)),"","RECEIVE, "), IF(ISERROR(FIND("C",C159,1)),"","INSERT, "),IF(ISERROR(FIND("R",C159,1)),"","SELECT, "), IF(ISERROR(FIND("U",C159,1)),"","UPDATE, "),IF(ISERROR(FIND("D",C159,1)),"","DELETE, "), IF(ISERROR(FIND("X",C159,1)),"","EXECUTE, "), IF(ISERROR(FIND("F",C159,1)),"","REFERENCES")),IF(ISERROR(FIND("F",C159,1)), LEN(CONCATENATE(IF(ISERROR(FIND("V",C159,1)),"","RECEIVE, "), IF(ISERROR(FIND("C",C159,1)),"","INSERT, "),IF(ISERROR(FIND("R",C159,1)),"","SELECT, "), IF(ISERROR(FIND("U",C159,1)),"","UPDATE, "),IF(ISERROR(FIND("D",C159,1)),"","DELETE, "), IF(ISERROR(FIND("X",C159,1)),"","EXECUTE, ")))-2,LEN(CONCATENATE(IF(ISERROR(FIND("V",C159,1)),"","RECEIVE, "), IF(ISERROR(FIND("C",C159,1)),"","INSERT, "),IF(ISERROR(FIND("R",C159,1)),"","SELECT, "), IF(ISERROR(FIND("U",C159,1)),"","UPDATE, "),IF(ISERROR(FIND("D",C159,1)),"","DELETE, "), IF(ISERROR(FIND("X",C159,1)),"","EXECUTE, "),IF(ISERROR(FIND("F",C159,1)),"","REFERENCES"))))), " ON ",IF(ISERROR(FIND("[",$A159,1)),"[",""), $A159, IF(ISERROR(FIND("]",$A159,1)),"]",""), ".", IF(ISERROR(FIND("[",$B159,1)),"[",""), $B159, IF(ISERROR(FIND("]",$B159,1)),"]","")))), " TO ", IF(ISERROR(FIND("[",D$8,1)),"[",""), D$8, IF(ISERROR(FIND("]",D$8,1)),"]",""),";" ))</f>
        <v>GRANT EXECUTE, REFERENCES ON [Utility].[GetTimeStartEnd] TO [R_DemandaDW];</v>
      </c>
    </row>
    <row r="160" spans="1:4" x14ac:dyDescent="0.2">
      <c r="A160" s="71" t="s">
        <v>165</v>
      </c>
      <c r="B160" s="71" t="s">
        <v>165</v>
      </c>
      <c r="C160" s="72" t="s">
        <v>170</v>
      </c>
      <c r="D160" s="73" t="str">
        <f>IF(OR($A160="", C160=""), "", CONCATENATE("GRANT ", IF(NOT(ISERROR(FIND("H",C160,1))), CONCATENATE("EXECUTE ON XML SCHEMA COLLECTION::",IF(ISERROR(FIND("[",$A160,1)),"[",""), $A160, IF(ISERROR(FIND("]",$A160,1)),"]",""), ".", IF(ISERROR(FIND("[",$B160,1)),"[",""), $B160, IF(ISERROR(FIND("]",$B160,1)),"]","")),IF(NOT(ISERROR(FIND("N",C160,1))), CONCATENATE("SEND ON SERVICE::",IF(ISERROR(FIND("[",$B160,1)),"[",""), $B160, IF(ISERROR(FIND("]",$B160,1)),"]","")),CONCATENATE(LEFT(CONCATENATE(IF(ISERROR(FIND("V",C160,1)),"","RECEIVE, "), IF(ISERROR(FIND("C",C160,1)),"","INSERT, "),IF(ISERROR(FIND("R",C160,1)),"","SELECT, "), IF(ISERROR(FIND("U",C160,1)),"","UPDATE, "),IF(ISERROR(FIND("D",C160,1)),"","DELETE, "), IF(ISERROR(FIND("X",C160,1)),"","EXECUTE, "), IF(ISERROR(FIND("F",C160,1)),"","REFERENCES")),IF(ISERROR(FIND("F",C160,1)), LEN(CONCATENATE(IF(ISERROR(FIND("V",C160,1)),"","RECEIVE, "), IF(ISERROR(FIND("C",C160,1)),"","INSERT, "),IF(ISERROR(FIND("R",C160,1)),"","SELECT, "), IF(ISERROR(FIND("U",C160,1)),"","UPDATE, "),IF(ISERROR(FIND("D",C160,1)),"","DELETE, "), IF(ISERROR(FIND("X",C160,1)),"","EXECUTE, ")))-2,LEN(CONCATENATE(IF(ISERROR(FIND("V",C160,1)),"","RECEIVE, "), IF(ISERROR(FIND("C",C160,1)),"","INSERT, "),IF(ISERROR(FIND("R",C160,1)),"","SELECT, "), IF(ISERROR(FIND("U",C160,1)),"","UPDATE, "),IF(ISERROR(FIND("D",C160,1)),"","DELETE, "), IF(ISERROR(FIND("X",C160,1)),"","EXECUTE, "),IF(ISERROR(FIND("F",C160,1)),"","REFERENCES"))))), " ON ",IF(ISERROR(FIND("[",$A160,1)),"[",""), $A160, IF(ISERROR(FIND("]",$A160,1)),"]",""), ".", IF(ISERROR(FIND("[",$B160,1)),"[",""), $B160, IF(ISERROR(FIND("]",$B160,1)),"]","")))), " TO ", IF(ISERROR(FIND("[",D$8,1)),"[",""), D$8, IF(ISERROR(FIND("]",D$8,1)),"]",""),";" ))</f>
        <v/>
      </c>
    </row>
    <row r="161" spans="1:4" x14ac:dyDescent="0.2">
      <c r="A161" s="71" t="s">
        <v>165</v>
      </c>
      <c r="B161" s="71" t="s">
        <v>165</v>
      </c>
      <c r="C161" s="72" t="s">
        <v>170</v>
      </c>
      <c r="D161" s="73" t="str">
        <f>IF(OR($A161="", C161=""), "", CONCATENATE("GRANT ", IF(NOT(ISERROR(FIND("H",C161,1))), CONCATENATE("EXECUTE ON XML SCHEMA COLLECTION::",IF(ISERROR(FIND("[",$A161,1)),"[",""), $A161, IF(ISERROR(FIND("]",$A161,1)),"]",""), ".", IF(ISERROR(FIND("[",$B161,1)),"[",""), $B161, IF(ISERROR(FIND("]",$B161,1)),"]","")),IF(NOT(ISERROR(FIND("N",C161,1))), CONCATENATE("SEND ON SERVICE::",IF(ISERROR(FIND("[",$B161,1)),"[",""), $B161, IF(ISERROR(FIND("]",$B161,1)),"]","")),CONCATENATE(LEFT(CONCATENATE(IF(ISERROR(FIND("V",C161,1)),"","RECEIVE, "), IF(ISERROR(FIND("C",C161,1)),"","INSERT, "),IF(ISERROR(FIND("R",C161,1)),"","SELECT, "), IF(ISERROR(FIND("U",C161,1)),"","UPDATE, "),IF(ISERROR(FIND("D",C161,1)),"","DELETE, "), IF(ISERROR(FIND("X",C161,1)),"","EXECUTE, "), IF(ISERROR(FIND("F",C161,1)),"","REFERENCES")),IF(ISERROR(FIND("F",C161,1)), LEN(CONCATENATE(IF(ISERROR(FIND("V",C161,1)),"","RECEIVE, "), IF(ISERROR(FIND("C",C161,1)),"","INSERT, "),IF(ISERROR(FIND("R",C161,1)),"","SELECT, "), IF(ISERROR(FIND("U",C161,1)),"","UPDATE, "),IF(ISERROR(FIND("D",C161,1)),"","DELETE, "), IF(ISERROR(FIND("X",C161,1)),"","EXECUTE, ")))-2,LEN(CONCATENATE(IF(ISERROR(FIND("V",C161,1)),"","RECEIVE, "), IF(ISERROR(FIND("C",C161,1)),"","INSERT, "),IF(ISERROR(FIND("R",C161,1)),"","SELECT, "), IF(ISERROR(FIND("U",C161,1)),"","UPDATE, "),IF(ISERROR(FIND("D",C161,1)),"","DELETE, "), IF(ISERROR(FIND("X",C161,1)),"","EXECUTE, "),IF(ISERROR(FIND("F",C161,1)),"","REFERENCES"))))), " ON ",IF(ISERROR(FIND("[",$A161,1)),"[",""), $A161, IF(ISERROR(FIND("]",$A161,1)),"]",""), ".", IF(ISERROR(FIND("[",$B161,1)),"[",""), $B161, IF(ISERROR(FIND("]",$B161,1)),"]","")))), " TO ", IF(ISERROR(FIND("[",D$8,1)),"[",""), D$8, IF(ISERROR(FIND("]",D$8,1)),"]",""),";" ))</f>
        <v/>
      </c>
    </row>
    <row r="162" spans="1:4" x14ac:dyDescent="0.2">
      <c r="A162" s="69" t="s">
        <v>271</v>
      </c>
      <c r="B162" s="70"/>
      <c r="C162" s="70"/>
      <c r="D162" s="70"/>
    </row>
    <row r="163" spans="1:4" ht="33.75" x14ac:dyDescent="0.2">
      <c r="A163" s="77" t="s">
        <v>119</v>
      </c>
      <c r="B163" s="77" t="s">
        <v>272</v>
      </c>
      <c r="C163" s="78" t="s">
        <v>273</v>
      </c>
      <c r="D163" s="79" t="str">
        <f>IF(OR($A163="", C163=""), "", CONCATENATE("GRANT ", IF(NOT(ISERROR(FIND("H",C163,1))), CONCATENATE("EXECUTE ON XML SCHEMA COLLECTION::",IF(ISERROR(FIND("[",$A163,1)),"[",""), $A163, IF(ISERROR(FIND("]",$A163,1)),"]",""), ".", IF(ISERROR(FIND("[",$B163,1)),"[",""), $B163, IF(ISERROR(FIND("]",$B163,1)),"]","")),IF(NOT(ISERROR(FIND("N",C163,1))), CONCATENATE("SEND ON SERVICE::",IF(ISERROR(FIND("[",$B163,1)),"[",""), $B163, IF(ISERROR(FIND("]",$B163,1)),"]","")),CONCATENATE(LEFT(CONCATENATE(IF(ISERROR(FIND("V",C163,1)),"","RECEIVE, "), IF(ISERROR(FIND("C",C163,1)),"","INSERT, "),IF(ISERROR(FIND("R",C163,1)),"","SELECT, "), IF(ISERROR(FIND("U",C163,1)),"","UPDATE, "),IF(ISERROR(FIND("D",C163,1)),"","DELETE, "), IF(ISERROR(FIND("X",C163,1)),"","EXECUTE, "), IF(ISERROR(FIND("F",C163,1)),"","REFERENCES")),IF(ISERROR(FIND("F",C163,1)), LEN(CONCATENATE(IF(ISERROR(FIND("V",C163,1)),"","RECEIVE, "), IF(ISERROR(FIND("C",C163,1)),"","INSERT, "),IF(ISERROR(FIND("R",C163,1)),"","SELECT, "), IF(ISERROR(FIND("U",C163,1)),"","UPDATE, "),IF(ISERROR(FIND("D",C163,1)),"","DELETE, "), IF(ISERROR(FIND("X",C163,1)),"","EXECUTE, ")))-2,LEN(CONCATENATE(IF(ISERROR(FIND("V",C163,1)),"","RECEIVE, "), IF(ISERROR(FIND("C",C163,1)),"","INSERT, "),IF(ISERROR(FIND("R",C163,1)),"","SELECT, "), IF(ISERROR(FIND("U",C163,1)),"","UPDATE, "),IF(ISERROR(FIND("D",C163,1)),"","DELETE, "), IF(ISERROR(FIND("X",C163,1)),"","EXECUTE, "),IF(ISERROR(FIND("F",C163,1)),"","REFERENCES"))))), " ON ",IF(ISERROR(FIND("[",$A163,1)),"[",""), $A163, IF(ISERROR(FIND("]",$A163,1)),"]",""), ".", IF(ISERROR(FIND("[",$B163,1)),"[",""), $B163, IF(ISERROR(FIND("]",$B163,1)),"]","")))), " TO ", IF(ISERROR(FIND("[",D$8,1)),"[",""), D$8, IF(ISERROR(FIND("]",D$8,1)),"]",""),";" ))</f>
        <v>GRANT SELECT, REFERENCES ON [Audit].[GetBitacoraDetailTree] TO [R_DemandaDW];</v>
      </c>
    </row>
    <row r="164" spans="1:4" ht="33.75" x14ac:dyDescent="0.2">
      <c r="A164" s="77" t="s">
        <v>119</v>
      </c>
      <c r="B164" s="77" t="s">
        <v>274</v>
      </c>
      <c r="C164" s="78" t="s">
        <v>273</v>
      </c>
      <c r="D164" s="79" t="str">
        <f>IF(OR($A164="", C164=""), "", CONCATENATE("GRANT ", IF(NOT(ISERROR(FIND("H",C164,1))), CONCATENATE("EXECUTE ON XML SCHEMA COLLECTION::",IF(ISERROR(FIND("[",$A164,1)),"[",""), $A164, IF(ISERROR(FIND("]",$A164,1)),"]",""), ".", IF(ISERROR(FIND("[",$B164,1)),"[",""), $B164, IF(ISERROR(FIND("]",$B164,1)),"]","")),IF(NOT(ISERROR(FIND("N",C164,1))), CONCATENATE("SEND ON SERVICE::",IF(ISERROR(FIND("[",$B164,1)),"[",""), $B164, IF(ISERROR(FIND("]",$B164,1)),"]","")),CONCATENATE(LEFT(CONCATENATE(IF(ISERROR(FIND("V",C164,1)),"","RECEIVE, "), IF(ISERROR(FIND("C",C164,1)),"","INSERT, "),IF(ISERROR(FIND("R",C164,1)),"","SELECT, "), IF(ISERROR(FIND("U",C164,1)),"","UPDATE, "),IF(ISERROR(FIND("D",C164,1)),"","DELETE, "), IF(ISERROR(FIND("X",C164,1)),"","EXECUTE, "), IF(ISERROR(FIND("F",C164,1)),"","REFERENCES")),IF(ISERROR(FIND("F",C164,1)), LEN(CONCATENATE(IF(ISERROR(FIND("V",C164,1)),"","RECEIVE, "), IF(ISERROR(FIND("C",C164,1)),"","INSERT, "),IF(ISERROR(FIND("R",C164,1)),"","SELECT, "), IF(ISERROR(FIND("U",C164,1)),"","UPDATE, "),IF(ISERROR(FIND("D",C164,1)),"","DELETE, "), IF(ISERROR(FIND("X",C164,1)),"","EXECUTE, ")))-2,LEN(CONCATENATE(IF(ISERROR(FIND("V",C164,1)),"","RECEIVE, "), IF(ISERROR(FIND("C",C164,1)),"","INSERT, "),IF(ISERROR(FIND("R",C164,1)),"","SELECT, "), IF(ISERROR(FIND("U",C164,1)),"","UPDATE, "),IF(ISERROR(FIND("D",C164,1)),"","DELETE, "), IF(ISERROR(FIND("X",C164,1)),"","EXECUTE, "),IF(ISERROR(FIND("F",C164,1)),"","REFERENCES"))))), " ON ",IF(ISERROR(FIND("[",$A164,1)),"[",""), $A164, IF(ISERROR(FIND("]",$A164,1)),"]",""), ".", IF(ISERROR(FIND("[",$B164,1)),"[",""), $B164, IF(ISERROR(FIND("]",$B164,1)),"]","")))), " TO ", IF(ISERROR(FIND("[",D$8,1)),"[",""), D$8, IF(ISERROR(FIND("]",D$8,1)),"]",""),";" ))</f>
        <v>GRANT SELECT, REFERENCES ON [Audit].[GetBitacoraDetailTree_ByDate] TO [R_DemandaDW];</v>
      </c>
    </row>
    <row r="165" spans="1:4" ht="22.5" x14ac:dyDescent="0.2">
      <c r="A165" s="77" t="s">
        <v>119</v>
      </c>
      <c r="B165" s="77" t="s">
        <v>275</v>
      </c>
      <c r="C165" s="78" t="s">
        <v>273</v>
      </c>
      <c r="D165" s="79" t="str">
        <f>IF(OR($A165="", C165=""), "", CONCATENATE("GRANT ", IF(NOT(ISERROR(FIND("H",C165,1))), CONCATENATE("EXECUTE ON XML SCHEMA COLLECTION::",IF(ISERROR(FIND("[",$A165,1)),"[",""), $A165, IF(ISERROR(FIND("]",$A165,1)),"]",""), ".", IF(ISERROR(FIND("[",$B165,1)),"[",""), $B165, IF(ISERROR(FIND("]",$B165,1)),"]","")),IF(NOT(ISERROR(FIND("N",C165,1))), CONCATENATE("SEND ON SERVICE::",IF(ISERROR(FIND("[",$B165,1)),"[",""), $B165, IF(ISERROR(FIND("]",$B165,1)),"]","")),CONCATENATE(LEFT(CONCATENATE(IF(ISERROR(FIND("V",C165,1)),"","RECEIVE, "), IF(ISERROR(FIND("C",C165,1)),"","INSERT, "),IF(ISERROR(FIND("R",C165,1)),"","SELECT, "), IF(ISERROR(FIND("U",C165,1)),"","UPDATE, "),IF(ISERROR(FIND("D",C165,1)),"","DELETE, "), IF(ISERROR(FIND("X",C165,1)),"","EXECUTE, "), IF(ISERROR(FIND("F",C165,1)),"","REFERENCES")),IF(ISERROR(FIND("F",C165,1)), LEN(CONCATENATE(IF(ISERROR(FIND("V",C165,1)),"","RECEIVE, "), IF(ISERROR(FIND("C",C165,1)),"","INSERT, "),IF(ISERROR(FIND("R",C165,1)),"","SELECT, "), IF(ISERROR(FIND("U",C165,1)),"","UPDATE, "),IF(ISERROR(FIND("D",C165,1)),"","DELETE, "), IF(ISERROR(FIND("X",C165,1)),"","EXECUTE, ")))-2,LEN(CONCATENATE(IF(ISERROR(FIND("V",C165,1)),"","RECEIVE, "), IF(ISERROR(FIND("C",C165,1)),"","INSERT, "),IF(ISERROR(FIND("R",C165,1)),"","SELECT, "), IF(ISERROR(FIND("U",C165,1)),"","UPDATE, "),IF(ISERROR(FIND("D",C165,1)),"","DELETE, "), IF(ISERROR(FIND("X",C165,1)),"","EXECUTE, "),IF(ISERROR(FIND("F",C165,1)),"","REFERENCES"))))), " ON ",IF(ISERROR(FIND("[",$A165,1)),"[",""), $A165, IF(ISERROR(FIND("]",$A165,1)),"]",""), ".", IF(ISERROR(FIND("[",$B165,1)),"[",""), $B165, IF(ISERROR(FIND("]",$B165,1)),"]","")))), " TO ", IF(ISERROR(FIND("[",D$8,1)),"[",""), D$8, IF(ISERROR(FIND("]",D$8,1)),"]",""),";" ))</f>
        <v>GRANT SELECT, REFERENCES ON [Audit].[GetBitacoraFileTree] TO [R_DemandaDW];</v>
      </c>
    </row>
    <row r="166" spans="1:4" ht="33.75" x14ac:dyDescent="0.2">
      <c r="A166" s="77" t="s">
        <v>119</v>
      </c>
      <c r="B166" s="77" t="s">
        <v>276</v>
      </c>
      <c r="C166" s="78" t="s">
        <v>273</v>
      </c>
      <c r="D166" s="79" t="str">
        <f>IF(OR($A166="", C166=""), "", CONCATENATE("GRANT ", IF(NOT(ISERROR(FIND("H",C166,1))), CONCATENATE("EXECUTE ON XML SCHEMA COLLECTION::",IF(ISERROR(FIND("[",$A166,1)),"[",""), $A166, IF(ISERROR(FIND("]",$A166,1)),"]",""), ".", IF(ISERROR(FIND("[",$B166,1)),"[",""), $B166, IF(ISERROR(FIND("]",$B166,1)),"]","")),IF(NOT(ISERROR(FIND("N",C166,1))), CONCATENATE("SEND ON SERVICE::",IF(ISERROR(FIND("[",$B166,1)),"[",""), $B166, IF(ISERROR(FIND("]",$B166,1)),"]","")),CONCATENATE(LEFT(CONCATENATE(IF(ISERROR(FIND("V",C166,1)),"","RECEIVE, "), IF(ISERROR(FIND("C",C166,1)),"","INSERT, "),IF(ISERROR(FIND("R",C166,1)),"","SELECT, "), IF(ISERROR(FIND("U",C166,1)),"","UPDATE, "),IF(ISERROR(FIND("D",C166,1)),"","DELETE, "), IF(ISERROR(FIND("X",C166,1)),"","EXECUTE, "), IF(ISERROR(FIND("F",C166,1)),"","REFERENCES")),IF(ISERROR(FIND("F",C166,1)), LEN(CONCATENATE(IF(ISERROR(FIND("V",C166,1)),"","RECEIVE, "), IF(ISERROR(FIND("C",C166,1)),"","INSERT, "),IF(ISERROR(FIND("R",C166,1)),"","SELECT, "), IF(ISERROR(FIND("U",C166,1)),"","UPDATE, "),IF(ISERROR(FIND("D",C166,1)),"","DELETE, "), IF(ISERROR(FIND("X",C166,1)),"","EXECUTE, ")))-2,LEN(CONCATENATE(IF(ISERROR(FIND("V",C166,1)),"","RECEIVE, "), IF(ISERROR(FIND("C",C166,1)),"","INSERT, "),IF(ISERROR(FIND("R",C166,1)),"","SELECT, "), IF(ISERROR(FIND("U",C166,1)),"","UPDATE, "),IF(ISERROR(FIND("D",C166,1)),"","DELETE, "), IF(ISERROR(FIND("X",C166,1)),"","EXECUTE, "),IF(ISERROR(FIND("F",C166,1)),"","REFERENCES"))))), " ON ",IF(ISERROR(FIND("[",$A166,1)),"[",""), $A166, IF(ISERROR(FIND("]",$A166,1)),"]",""), ".", IF(ISERROR(FIND("[",$B166,1)),"[",""), $B166, IF(ISERROR(FIND("]",$B166,1)),"]","")))), " TO ", IF(ISERROR(FIND("[",D$8,1)),"[",""), D$8, IF(ISERROR(FIND("]",D$8,1)),"]",""),";" ))</f>
        <v>GRANT SELECT, REFERENCES ON [Audit].[GetBitacoraFileTree_ByDate] TO [R_DemandaDW];</v>
      </c>
    </row>
    <row r="167" spans="1:4" ht="33.75" x14ac:dyDescent="0.2">
      <c r="A167" s="77" t="s">
        <v>119</v>
      </c>
      <c r="B167" s="77" t="s">
        <v>277</v>
      </c>
      <c r="C167" s="78" t="s">
        <v>273</v>
      </c>
      <c r="D167" s="79" t="str">
        <f>IF(OR($A167="", C167=""), "", CONCATENATE("GRANT ", IF(NOT(ISERROR(FIND("H",C167,1))), CONCATENATE("EXECUTE ON XML SCHEMA COLLECTION::",IF(ISERROR(FIND("[",$A167,1)),"[",""), $A167, IF(ISERROR(FIND("]",$A167,1)),"]",""), ".", IF(ISERROR(FIND("[",$B167,1)),"[",""), $B167, IF(ISERROR(FIND("]",$B167,1)),"]","")),IF(NOT(ISERROR(FIND("N",C167,1))), CONCATENATE("SEND ON SERVICE::",IF(ISERROR(FIND("[",$B167,1)),"[",""), $B167, IF(ISERROR(FIND("]",$B167,1)),"]","")),CONCATENATE(LEFT(CONCATENATE(IF(ISERROR(FIND("V",C167,1)),"","RECEIVE, "), IF(ISERROR(FIND("C",C167,1)),"","INSERT, "),IF(ISERROR(FIND("R",C167,1)),"","SELECT, "), IF(ISERROR(FIND("U",C167,1)),"","UPDATE, "),IF(ISERROR(FIND("D",C167,1)),"","DELETE, "), IF(ISERROR(FIND("X",C167,1)),"","EXECUTE, "), IF(ISERROR(FIND("F",C167,1)),"","REFERENCES")),IF(ISERROR(FIND("F",C167,1)), LEN(CONCATENATE(IF(ISERROR(FIND("V",C167,1)),"","RECEIVE, "), IF(ISERROR(FIND("C",C167,1)),"","INSERT, "),IF(ISERROR(FIND("R",C167,1)),"","SELECT, "), IF(ISERROR(FIND("U",C167,1)),"","UPDATE, "),IF(ISERROR(FIND("D",C167,1)),"","DELETE, "), IF(ISERROR(FIND("X",C167,1)),"","EXECUTE, ")))-2,LEN(CONCATENATE(IF(ISERROR(FIND("V",C167,1)),"","RECEIVE, "), IF(ISERROR(FIND("C",C167,1)),"","INSERT, "),IF(ISERROR(FIND("R",C167,1)),"","SELECT, "), IF(ISERROR(FIND("U",C167,1)),"","UPDATE, "),IF(ISERROR(FIND("D",C167,1)),"","DELETE, "), IF(ISERROR(FIND("X",C167,1)),"","EXECUTE, "),IF(ISERROR(FIND("F",C167,1)),"","REFERENCES"))))), " ON ",IF(ISERROR(FIND("[",$A167,1)),"[",""), $A167, IF(ISERROR(FIND("]",$A167,1)),"]",""), ".", IF(ISERROR(FIND("[",$B167,1)),"[",""), $B167, IF(ISERROR(FIND("]",$B167,1)),"]","")))), " TO ", IF(ISERROR(FIND("[",D$8,1)),"[",""), D$8, IF(ISERROR(FIND("]",D$8,1)),"]",""),";" ))</f>
        <v>GRANT SELECT, REFERENCES ON [Audit].[GetBitacoraStatisticTree] TO [R_DemandaDW];</v>
      </c>
    </row>
    <row r="168" spans="1:4" ht="33.75" x14ac:dyDescent="0.2">
      <c r="A168" s="77" t="s">
        <v>119</v>
      </c>
      <c r="B168" s="77" t="s">
        <v>278</v>
      </c>
      <c r="C168" s="78" t="s">
        <v>273</v>
      </c>
      <c r="D168" s="79" t="str">
        <f>IF(OR($A168="", C168=""), "", CONCATENATE("GRANT ", IF(NOT(ISERROR(FIND("H",C168,1))), CONCATENATE("EXECUTE ON XML SCHEMA COLLECTION::",IF(ISERROR(FIND("[",$A168,1)),"[",""), $A168, IF(ISERROR(FIND("]",$A168,1)),"]",""), ".", IF(ISERROR(FIND("[",$B168,1)),"[",""), $B168, IF(ISERROR(FIND("]",$B168,1)),"]","")),IF(NOT(ISERROR(FIND("N",C168,1))), CONCATENATE("SEND ON SERVICE::",IF(ISERROR(FIND("[",$B168,1)),"[",""), $B168, IF(ISERROR(FIND("]",$B168,1)),"]","")),CONCATENATE(LEFT(CONCATENATE(IF(ISERROR(FIND("V",C168,1)),"","RECEIVE, "), IF(ISERROR(FIND("C",C168,1)),"","INSERT, "),IF(ISERROR(FIND("R",C168,1)),"","SELECT, "), IF(ISERROR(FIND("U",C168,1)),"","UPDATE, "),IF(ISERROR(FIND("D",C168,1)),"","DELETE, "), IF(ISERROR(FIND("X",C168,1)),"","EXECUTE, "), IF(ISERROR(FIND("F",C168,1)),"","REFERENCES")),IF(ISERROR(FIND("F",C168,1)), LEN(CONCATENATE(IF(ISERROR(FIND("V",C168,1)),"","RECEIVE, "), IF(ISERROR(FIND("C",C168,1)),"","INSERT, "),IF(ISERROR(FIND("R",C168,1)),"","SELECT, "), IF(ISERROR(FIND("U",C168,1)),"","UPDATE, "),IF(ISERROR(FIND("D",C168,1)),"","DELETE, "), IF(ISERROR(FIND("X",C168,1)),"","EXECUTE, ")))-2,LEN(CONCATENATE(IF(ISERROR(FIND("V",C168,1)),"","RECEIVE, "), IF(ISERROR(FIND("C",C168,1)),"","INSERT, "),IF(ISERROR(FIND("R",C168,1)),"","SELECT, "), IF(ISERROR(FIND("U",C168,1)),"","UPDATE, "),IF(ISERROR(FIND("D",C168,1)),"","DELETE, "), IF(ISERROR(FIND("X",C168,1)),"","EXECUTE, "),IF(ISERROR(FIND("F",C168,1)),"","REFERENCES"))))), " ON ",IF(ISERROR(FIND("[",$A168,1)),"[",""), $A168, IF(ISERROR(FIND("]",$A168,1)),"]",""), ".", IF(ISERROR(FIND("[",$B168,1)),"[",""), $B168, IF(ISERROR(FIND("]",$B168,1)),"]","")))), " TO ", IF(ISERROR(FIND("[",D$8,1)),"[",""), D$8, IF(ISERROR(FIND("]",D$8,1)),"]",""),";" ))</f>
        <v>GRANT SELECT, REFERENCES ON [Audit].[GetBitacoraStatisticTree_ByDate] TO [R_DemandaDW];</v>
      </c>
    </row>
    <row r="169" spans="1:4" ht="33.75" x14ac:dyDescent="0.2">
      <c r="A169" s="77" t="s">
        <v>119</v>
      </c>
      <c r="B169" s="77" t="s">
        <v>279</v>
      </c>
      <c r="C169" s="78" t="s">
        <v>273</v>
      </c>
      <c r="D169" s="79" t="str">
        <f>IF(OR($A169="", C169=""), "", CONCATENATE("GRANT ", IF(NOT(ISERROR(FIND("H",C169,1))), CONCATENATE("EXECUTE ON XML SCHEMA COLLECTION::",IF(ISERROR(FIND("[",$A169,1)),"[",""), $A169, IF(ISERROR(FIND("]",$A169,1)),"]",""), ".", IF(ISERROR(FIND("[",$B169,1)),"[",""), $B169, IF(ISERROR(FIND("]",$B169,1)),"]","")),IF(NOT(ISERROR(FIND("N",C169,1))), CONCATENATE("SEND ON SERVICE::",IF(ISERROR(FIND("[",$B169,1)),"[",""), $B169, IF(ISERROR(FIND("]",$B169,1)),"]","")),CONCATENATE(LEFT(CONCATENATE(IF(ISERROR(FIND("V",C169,1)),"","RECEIVE, "), IF(ISERROR(FIND("C",C169,1)),"","INSERT, "),IF(ISERROR(FIND("R",C169,1)),"","SELECT, "), IF(ISERROR(FIND("U",C169,1)),"","UPDATE, "),IF(ISERROR(FIND("D",C169,1)),"","DELETE, "), IF(ISERROR(FIND("X",C169,1)),"","EXECUTE, "), IF(ISERROR(FIND("F",C169,1)),"","REFERENCES")),IF(ISERROR(FIND("F",C169,1)), LEN(CONCATENATE(IF(ISERROR(FIND("V",C169,1)),"","RECEIVE, "), IF(ISERROR(FIND("C",C169,1)),"","INSERT, "),IF(ISERROR(FIND("R",C169,1)),"","SELECT, "), IF(ISERROR(FIND("U",C169,1)),"","UPDATE, "),IF(ISERROR(FIND("D",C169,1)),"","DELETE, "), IF(ISERROR(FIND("X",C169,1)),"","EXECUTE, ")))-2,LEN(CONCATENATE(IF(ISERROR(FIND("V",C169,1)),"","RECEIVE, "), IF(ISERROR(FIND("C",C169,1)),"","INSERT, "),IF(ISERROR(FIND("R",C169,1)),"","SELECT, "), IF(ISERROR(FIND("U",C169,1)),"","UPDATE, "),IF(ISERROR(FIND("D",C169,1)),"","DELETE, "), IF(ISERROR(FIND("X",C169,1)),"","EXECUTE, "),IF(ISERROR(FIND("F",C169,1)),"","REFERENCES"))))), " ON ",IF(ISERROR(FIND("[",$A169,1)),"[",""), $A169, IF(ISERROR(FIND("]",$A169,1)),"]",""), ".", IF(ISERROR(FIND("[",$B169,1)),"[",""), $B169, IF(ISERROR(FIND("]",$B169,1)),"]","")))), " TO ", IF(ISERROR(FIND("[",D$8,1)),"[",""), D$8, IF(ISERROR(FIND("]",D$8,1)),"]",""),";" ))</f>
        <v>GRANT SELECT, REFERENCES ON [Audit].[GetBitacoraTableTree] TO [R_DemandaDW];</v>
      </c>
    </row>
    <row r="170" spans="1:4" ht="33.75" x14ac:dyDescent="0.2">
      <c r="A170" s="77" t="s">
        <v>119</v>
      </c>
      <c r="B170" s="77" t="s">
        <v>280</v>
      </c>
      <c r="C170" s="78" t="s">
        <v>273</v>
      </c>
      <c r="D170" s="79" t="str">
        <f>IF(OR($A170="", C170=""), "", CONCATENATE("GRANT ", IF(NOT(ISERROR(FIND("H",C170,1))), CONCATENATE("EXECUTE ON XML SCHEMA COLLECTION::",IF(ISERROR(FIND("[",$A170,1)),"[",""), $A170, IF(ISERROR(FIND("]",$A170,1)),"]",""), ".", IF(ISERROR(FIND("[",$B170,1)),"[",""), $B170, IF(ISERROR(FIND("]",$B170,1)),"]","")),IF(NOT(ISERROR(FIND("N",C170,1))), CONCATENATE("SEND ON SERVICE::",IF(ISERROR(FIND("[",$B170,1)),"[",""), $B170, IF(ISERROR(FIND("]",$B170,1)),"]","")),CONCATENATE(LEFT(CONCATENATE(IF(ISERROR(FIND("V",C170,1)),"","RECEIVE, "), IF(ISERROR(FIND("C",C170,1)),"","INSERT, "),IF(ISERROR(FIND("R",C170,1)),"","SELECT, "), IF(ISERROR(FIND("U",C170,1)),"","UPDATE, "),IF(ISERROR(FIND("D",C170,1)),"","DELETE, "), IF(ISERROR(FIND("X",C170,1)),"","EXECUTE, "), IF(ISERROR(FIND("F",C170,1)),"","REFERENCES")),IF(ISERROR(FIND("F",C170,1)), LEN(CONCATENATE(IF(ISERROR(FIND("V",C170,1)),"","RECEIVE, "), IF(ISERROR(FIND("C",C170,1)),"","INSERT, "),IF(ISERROR(FIND("R",C170,1)),"","SELECT, "), IF(ISERROR(FIND("U",C170,1)),"","UPDATE, "),IF(ISERROR(FIND("D",C170,1)),"","DELETE, "), IF(ISERROR(FIND("X",C170,1)),"","EXECUTE, ")))-2,LEN(CONCATENATE(IF(ISERROR(FIND("V",C170,1)),"","RECEIVE, "), IF(ISERROR(FIND("C",C170,1)),"","INSERT, "),IF(ISERROR(FIND("R",C170,1)),"","SELECT, "), IF(ISERROR(FIND("U",C170,1)),"","UPDATE, "),IF(ISERROR(FIND("D",C170,1)),"","DELETE, "), IF(ISERROR(FIND("X",C170,1)),"","EXECUTE, "),IF(ISERROR(FIND("F",C170,1)),"","REFERENCES"))))), " ON ",IF(ISERROR(FIND("[",$A170,1)),"[",""), $A170, IF(ISERROR(FIND("]",$A170,1)),"]",""), ".", IF(ISERROR(FIND("[",$B170,1)),"[",""), $B170, IF(ISERROR(FIND("]",$B170,1)),"]","")))), " TO ", IF(ISERROR(FIND("[",D$8,1)),"[",""), D$8, IF(ISERROR(FIND("]",D$8,1)),"]",""),";" ))</f>
        <v>GRANT SELECT, REFERENCES ON [Audit].[GetBitacoraTableTree_ByDate] TO [R_DemandaDW];</v>
      </c>
    </row>
    <row r="171" spans="1:4" ht="22.5" x14ac:dyDescent="0.2">
      <c r="A171" s="77" t="s">
        <v>119</v>
      </c>
      <c r="B171" s="77" t="s">
        <v>281</v>
      </c>
      <c r="C171" s="78" t="s">
        <v>273</v>
      </c>
      <c r="D171" s="79" t="str">
        <f>IF(OR($A171="", C171=""), "", CONCATENATE("GRANT ", IF(NOT(ISERROR(FIND("H",C171,1))), CONCATENATE("EXECUTE ON XML SCHEMA COLLECTION::",IF(ISERROR(FIND("[",$A171,1)),"[",""), $A171, IF(ISERROR(FIND("]",$A171,1)),"]",""), ".", IF(ISERROR(FIND("[",$B171,1)),"[",""), $B171, IF(ISERROR(FIND("]",$B171,1)),"]","")),IF(NOT(ISERROR(FIND("N",C171,1))), CONCATENATE("SEND ON SERVICE::",IF(ISERROR(FIND("[",$B171,1)),"[",""), $B171, IF(ISERROR(FIND("]",$B171,1)),"]","")),CONCATENATE(LEFT(CONCATENATE(IF(ISERROR(FIND("V",C171,1)),"","RECEIVE, "), IF(ISERROR(FIND("C",C171,1)),"","INSERT, "),IF(ISERROR(FIND("R",C171,1)),"","SELECT, "), IF(ISERROR(FIND("U",C171,1)),"","UPDATE, "),IF(ISERROR(FIND("D",C171,1)),"","DELETE, "), IF(ISERROR(FIND("X",C171,1)),"","EXECUTE, "), IF(ISERROR(FIND("F",C171,1)),"","REFERENCES")),IF(ISERROR(FIND("F",C171,1)), LEN(CONCATENATE(IF(ISERROR(FIND("V",C171,1)),"","RECEIVE, "), IF(ISERROR(FIND("C",C171,1)),"","INSERT, "),IF(ISERROR(FIND("R",C171,1)),"","SELECT, "), IF(ISERROR(FIND("U",C171,1)),"","UPDATE, "),IF(ISERROR(FIND("D",C171,1)),"","DELETE, "), IF(ISERROR(FIND("X",C171,1)),"","EXECUTE, ")))-2,LEN(CONCATENATE(IF(ISERROR(FIND("V",C171,1)),"","RECEIVE, "), IF(ISERROR(FIND("C",C171,1)),"","INSERT, "),IF(ISERROR(FIND("R",C171,1)),"","SELECT, "), IF(ISERROR(FIND("U",C171,1)),"","UPDATE, "),IF(ISERROR(FIND("D",C171,1)),"","DELETE, "), IF(ISERROR(FIND("X",C171,1)),"","EXECUTE, "),IF(ISERROR(FIND("F",C171,1)),"","REFERENCES"))))), " ON ",IF(ISERROR(FIND("[",$A171,1)),"[",""), $A171, IF(ISERROR(FIND("]",$A171,1)),"]",""), ".", IF(ISERROR(FIND("[",$B171,1)),"[",""), $B171, IF(ISERROR(FIND("]",$B171,1)),"]","")))), " TO ", IF(ISERROR(FIND("[",D$8,1)),"[",""), D$8, IF(ISERROR(FIND("]",D$8,1)),"]",""),";" ))</f>
        <v>GRANT SELECT, REFERENCES ON [Audit].[GetBitacoraTree] TO [R_DemandaDW];</v>
      </c>
    </row>
    <row r="172" spans="1:4" ht="33.75" x14ac:dyDescent="0.2">
      <c r="A172" s="77" t="s">
        <v>119</v>
      </c>
      <c r="B172" s="77" t="s">
        <v>282</v>
      </c>
      <c r="C172" s="78" t="s">
        <v>273</v>
      </c>
      <c r="D172" s="79" t="str">
        <f>IF(OR($A172="", C172=""), "", CONCATENATE("GRANT ", IF(NOT(ISERROR(FIND("H",C172,1))), CONCATENATE("EXECUTE ON XML SCHEMA COLLECTION::",IF(ISERROR(FIND("[",$A172,1)),"[",""), $A172, IF(ISERROR(FIND("]",$A172,1)),"]",""), ".", IF(ISERROR(FIND("[",$B172,1)),"[",""), $B172, IF(ISERROR(FIND("]",$B172,1)),"]","")),IF(NOT(ISERROR(FIND("N",C172,1))), CONCATENATE("SEND ON SERVICE::",IF(ISERROR(FIND("[",$B172,1)),"[",""), $B172, IF(ISERROR(FIND("]",$B172,1)),"]","")),CONCATENATE(LEFT(CONCATENATE(IF(ISERROR(FIND("V",C172,1)),"","RECEIVE, "), IF(ISERROR(FIND("C",C172,1)),"","INSERT, "),IF(ISERROR(FIND("R",C172,1)),"","SELECT, "), IF(ISERROR(FIND("U",C172,1)),"","UPDATE, "),IF(ISERROR(FIND("D",C172,1)),"","DELETE, "), IF(ISERROR(FIND("X",C172,1)),"","EXECUTE, "), IF(ISERROR(FIND("F",C172,1)),"","REFERENCES")),IF(ISERROR(FIND("F",C172,1)), LEN(CONCATENATE(IF(ISERROR(FIND("V",C172,1)),"","RECEIVE, "), IF(ISERROR(FIND("C",C172,1)),"","INSERT, "),IF(ISERROR(FIND("R",C172,1)),"","SELECT, "), IF(ISERROR(FIND("U",C172,1)),"","UPDATE, "),IF(ISERROR(FIND("D",C172,1)),"","DELETE, "), IF(ISERROR(FIND("X",C172,1)),"","EXECUTE, ")))-2,LEN(CONCATENATE(IF(ISERROR(FIND("V",C172,1)),"","RECEIVE, "), IF(ISERROR(FIND("C",C172,1)),"","INSERT, "),IF(ISERROR(FIND("R",C172,1)),"","SELECT, "), IF(ISERROR(FIND("U",C172,1)),"","UPDATE, "),IF(ISERROR(FIND("D",C172,1)),"","DELETE, "), IF(ISERROR(FIND("X",C172,1)),"","EXECUTE, "),IF(ISERROR(FIND("F",C172,1)),"","REFERENCES"))))), " ON ",IF(ISERROR(FIND("[",$A172,1)),"[",""), $A172, IF(ISERROR(FIND("]",$A172,1)),"]",""), ".", IF(ISERROR(FIND("[",$B172,1)),"[",""), $B172, IF(ISERROR(FIND("]",$B172,1)),"]","")))), " TO ", IF(ISERROR(FIND("[",D$8,1)),"[",""), D$8, IF(ISERROR(FIND("]",D$8,1)),"]",""),";" ))</f>
        <v>GRANT SELECT, REFERENCES ON [Audit].[GetBitacoraTree_ByDate] TO [R_DemandaDW];</v>
      </c>
    </row>
    <row r="173" spans="1:4" ht="22.5" x14ac:dyDescent="0.2">
      <c r="A173" s="77" t="s">
        <v>144</v>
      </c>
      <c r="B173" s="77" t="s">
        <v>283</v>
      </c>
      <c r="C173" s="78" t="s">
        <v>273</v>
      </c>
      <c r="D173" s="79" t="str">
        <f>IF(OR($A173="", C173=""), "", CONCATENATE("GRANT ", IF(NOT(ISERROR(FIND("H",C173,1))), CONCATENATE("EXECUTE ON XML SCHEMA COLLECTION::",IF(ISERROR(FIND("[",$A173,1)),"[",""), $A173, IF(ISERROR(FIND("]",$A173,1)),"]",""), ".", IF(ISERROR(FIND("[",$B173,1)),"[",""), $B173, IF(ISERROR(FIND("]",$B173,1)),"]","")),IF(NOT(ISERROR(FIND("N",C173,1))), CONCATENATE("SEND ON SERVICE::",IF(ISERROR(FIND("[",$B173,1)),"[",""), $B173, IF(ISERROR(FIND("]",$B173,1)),"]","")),CONCATENATE(LEFT(CONCATENATE(IF(ISERROR(FIND("V",C173,1)),"","RECEIVE, "), IF(ISERROR(FIND("C",C173,1)),"","INSERT, "),IF(ISERROR(FIND("R",C173,1)),"","SELECT, "), IF(ISERROR(FIND("U",C173,1)),"","UPDATE, "),IF(ISERROR(FIND("D",C173,1)),"","DELETE, "), IF(ISERROR(FIND("X",C173,1)),"","EXECUTE, "), IF(ISERROR(FIND("F",C173,1)),"","REFERENCES")),IF(ISERROR(FIND("F",C173,1)), LEN(CONCATENATE(IF(ISERROR(FIND("V",C173,1)),"","RECEIVE, "), IF(ISERROR(FIND("C",C173,1)),"","INSERT, "),IF(ISERROR(FIND("R",C173,1)),"","SELECT, "), IF(ISERROR(FIND("U",C173,1)),"","UPDATE, "),IF(ISERROR(FIND("D",C173,1)),"","DELETE, "), IF(ISERROR(FIND("X",C173,1)),"","EXECUTE, ")))-2,LEN(CONCATENATE(IF(ISERROR(FIND("V",C173,1)),"","RECEIVE, "), IF(ISERROR(FIND("C",C173,1)),"","INSERT, "),IF(ISERROR(FIND("R",C173,1)),"","SELECT, "), IF(ISERROR(FIND("U",C173,1)),"","UPDATE, "),IF(ISERROR(FIND("D",C173,1)),"","DELETE, "), IF(ISERROR(FIND("X",C173,1)),"","EXECUTE, "),IF(ISERROR(FIND("F",C173,1)),"","REFERENCES"))))), " ON ",IF(ISERROR(FIND("[",$A173,1)),"[",""), $A173, IF(ISERROR(FIND("]",$A173,1)),"]",""), ".", IF(ISERROR(FIND("[",$B173,1)),"[",""), $B173, IF(ISERROR(FIND("]",$B173,1)),"]","")))), " TO ", IF(ISERROR(FIND("[",D$8,1)),"[",""), D$8, IF(ISERROR(FIND("]",D$8,1)),"]",""),";" ))</f>
        <v>GRANT SELECT, REFERENCES ON [Utility].[fnString_Split] TO [R_DemandaDW];</v>
      </c>
    </row>
    <row r="174" spans="1:4" ht="22.5" x14ac:dyDescent="0.2">
      <c r="A174" s="77" t="s">
        <v>144</v>
      </c>
      <c r="B174" s="77" t="s">
        <v>284</v>
      </c>
      <c r="C174" s="78" t="s">
        <v>273</v>
      </c>
      <c r="D174" s="79" t="str">
        <f>IF(OR($A174="", C174=""), "", CONCATENATE("GRANT ", IF(NOT(ISERROR(FIND("H",C174,1))), CONCATENATE("EXECUTE ON XML SCHEMA COLLECTION::",IF(ISERROR(FIND("[",$A174,1)),"[",""), $A174, IF(ISERROR(FIND("]",$A174,1)),"]",""), ".", IF(ISERROR(FIND("[",$B174,1)),"[",""), $B174, IF(ISERROR(FIND("]",$B174,1)),"]","")),IF(NOT(ISERROR(FIND("N",C174,1))), CONCATENATE("SEND ON SERVICE::",IF(ISERROR(FIND("[",$B174,1)),"[",""), $B174, IF(ISERROR(FIND("]",$B174,1)),"]","")),CONCATENATE(LEFT(CONCATENATE(IF(ISERROR(FIND("V",C174,1)),"","RECEIVE, "), IF(ISERROR(FIND("C",C174,1)),"","INSERT, "),IF(ISERROR(FIND("R",C174,1)),"","SELECT, "), IF(ISERROR(FIND("U",C174,1)),"","UPDATE, "),IF(ISERROR(FIND("D",C174,1)),"","DELETE, "), IF(ISERROR(FIND("X",C174,1)),"","EXECUTE, "), IF(ISERROR(FIND("F",C174,1)),"","REFERENCES")),IF(ISERROR(FIND("F",C174,1)), LEN(CONCATENATE(IF(ISERROR(FIND("V",C174,1)),"","RECEIVE, "), IF(ISERROR(FIND("C",C174,1)),"","INSERT, "),IF(ISERROR(FIND("R",C174,1)),"","SELECT, "), IF(ISERROR(FIND("U",C174,1)),"","UPDATE, "),IF(ISERROR(FIND("D",C174,1)),"","DELETE, "), IF(ISERROR(FIND("X",C174,1)),"","EXECUTE, ")))-2,LEN(CONCATENATE(IF(ISERROR(FIND("V",C174,1)),"","RECEIVE, "), IF(ISERROR(FIND("C",C174,1)),"","INSERT, "),IF(ISERROR(FIND("R",C174,1)),"","SELECT, "), IF(ISERROR(FIND("U",C174,1)),"","UPDATE, "),IF(ISERROR(FIND("D",C174,1)),"","DELETE, "), IF(ISERROR(FIND("X",C174,1)),"","EXECUTE, "),IF(ISERROR(FIND("F",C174,1)),"","REFERENCES"))))), " ON ",IF(ISERROR(FIND("[",$A174,1)),"[",""), $A174, IF(ISERROR(FIND("]",$A174,1)),"]",""), ".", IF(ISERROR(FIND("[",$B174,1)),"[",""), $B174, IF(ISERROR(FIND("]",$B174,1)),"]","")))), " TO ", IF(ISERROR(FIND("[",D$8,1)),"[",""), D$8, IF(ISERROR(FIND("]",D$8,1)),"]",""),";" ))</f>
        <v>GRANT SELECT, REFERENCES ON [Utility].[GetDateAge] TO [R_DemandaDW];</v>
      </c>
    </row>
    <row r="175" spans="1:4" ht="22.5" x14ac:dyDescent="0.2">
      <c r="A175" s="77" t="s">
        <v>144</v>
      </c>
      <c r="B175" s="77" t="s">
        <v>285</v>
      </c>
      <c r="C175" s="78" t="s">
        <v>273</v>
      </c>
      <c r="D175" s="79" t="str">
        <f>IF(OR($A175="", C175=""), "", CONCATENATE("GRANT ", IF(NOT(ISERROR(FIND("H",C175,1))), CONCATENATE("EXECUTE ON XML SCHEMA COLLECTION::",IF(ISERROR(FIND("[",$A175,1)),"[",""), $A175, IF(ISERROR(FIND("]",$A175,1)),"]",""), ".", IF(ISERROR(FIND("[",$B175,1)),"[",""), $B175, IF(ISERROR(FIND("]",$B175,1)),"]","")),IF(NOT(ISERROR(FIND("N",C175,1))), CONCATENATE("SEND ON SERVICE::",IF(ISERROR(FIND("[",$B175,1)),"[",""), $B175, IF(ISERROR(FIND("]",$B175,1)),"]","")),CONCATENATE(LEFT(CONCATENATE(IF(ISERROR(FIND("V",C175,1)),"","RECEIVE, "), IF(ISERROR(FIND("C",C175,1)),"","INSERT, "),IF(ISERROR(FIND("R",C175,1)),"","SELECT, "), IF(ISERROR(FIND("U",C175,1)),"","UPDATE, "),IF(ISERROR(FIND("D",C175,1)),"","DELETE, "), IF(ISERROR(FIND("X",C175,1)),"","EXECUTE, "), IF(ISERROR(FIND("F",C175,1)),"","REFERENCES")),IF(ISERROR(FIND("F",C175,1)), LEN(CONCATENATE(IF(ISERROR(FIND("V",C175,1)),"","RECEIVE, "), IF(ISERROR(FIND("C",C175,1)),"","INSERT, "),IF(ISERROR(FIND("R",C175,1)),"","SELECT, "), IF(ISERROR(FIND("U",C175,1)),"","UPDATE, "),IF(ISERROR(FIND("D",C175,1)),"","DELETE, "), IF(ISERROR(FIND("X",C175,1)),"","EXECUTE, ")))-2,LEN(CONCATENATE(IF(ISERROR(FIND("V",C175,1)),"","RECEIVE, "), IF(ISERROR(FIND("C",C175,1)),"","INSERT, "),IF(ISERROR(FIND("R",C175,1)),"","SELECT, "), IF(ISERROR(FIND("U",C175,1)),"","UPDATE, "),IF(ISERROR(FIND("D",C175,1)),"","DELETE, "), IF(ISERROR(FIND("X",C175,1)),"","EXECUTE, "),IF(ISERROR(FIND("F",C175,1)),"","REFERENCES"))))), " ON ",IF(ISERROR(FIND("[",$A175,1)),"[",""), $A175, IF(ISERROR(FIND("]",$A175,1)),"]",""), ".", IF(ISERROR(FIND("[",$B175,1)),"[",""), $B175, IF(ISERROR(FIND("]",$B175,1)),"]","")))), " TO ", IF(ISERROR(FIND("[",D$8,1)),"[",""), D$8, IF(ISERROR(FIND("]",D$8,1)),"]",""),";" ))</f>
        <v>GRANT SELECT, REFERENCES ON [Utility].[GetDateParts] TO [R_DemandaDW];</v>
      </c>
    </row>
    <row r="176" spans="1:4" ht="22.5" x14ac:dyDescent="0.2">
      <c r="A176" s="77" t="s">
        <v>144</v>
      </c>
      <c r="B176" s="77" t="s">
        <v>286</v>
      </c>
      <c r="C176" s="78" t="s">
        <v>273</v>
      </c>
      <c r="D176" s="79" t="str">
        <f>IF(OR($A176="", C176=""), "", CONCATENATE("GRANT ", IF(NOT(ISERROR(FIND("H",C176,1))), CONCATENATE("EXECUTE ON XML SCHEMA COLLECTION::",IF(ISERROR(FIND("[",$A176,1)),"[",""), $A176, IF(ISERROR(FIND("]",$A176,1)),"]",""), ".", IF(ISERROR(FIND("[",$B176,1)),"[",""), $B176, IF(ISERROR(FIND("]",$B176,1)),"]","")),IF(NOT(ISERROR(FIND("N",C176,1))), CONCATENATE("SEND ON SERVICE::",IF(ISERROR(FIND("[",$B176,1)),"[",""), $B176, IF(ISERROR(FIND("]",$B176,1)),"]","")),CONCATENATE(LEFT(CONCATENATE(IF(ISERROR(FIND("V",C176,1)),"","RECEIVE, "), IF(ISERROR(FIND("C",C176,1)),"","INSERT, "),IF(ISERROR(FIND("R",C176,1)),"","SELECT, "), IF(ISERROR(FIND("U",C176,1)),"","UPDATE, "),IF(ISERROR(FIND("D",C176,1)),"","DELETE, "), IF(ISERROR(FIND("X",C176,1)),"","EXECUTE, "), IF(ISERROR(FIND("F",C176,1)),"","REFERENCES")),IF(ISERROR(FIND("F",C176,1)), LEN(CONCATENATE(IF(ISERROR(FIND("V",C176,1)),"","RECEIVE, "), IF(ISERROR(FIND("C",C176,1)),"","INSERT, "),IF(ISERROR(FIND("R",C176,1)),"","SELECT, "), IF(ISERROR(FIND("U",C176,1)),"","UPDATE, "),IF(ISERROR(FIND("D",C176,1)),"","DELETE, "), IF(ISERROR(FIND("X",C176,1)),"","EXECUTE, ")))-2,LEN(CONCATENATE(IF(ISERROR(FIND("V",C176,1)),"","RECEIVE, "), IF(ISERROR(FIND("C",C176,1)),"","INSERT, "),IF(ISERROR(FIND("R",C176,1)),"","SELECT, "), IF(ISERROR(FIND("U",C176,1)),"","UPDATE, "),IF(ISERROR(FIND("D",C176,1)),"","DELETE, "), IF(ISERROR(FIND("X",C176,1)),"","EXECUTE, "),IF(ISERROR(FIND("F",C176,1)),"","REFERENCES"))))), " ON ",IF(ISERROR(FIND("[",$A176,1)),"[",""), $A176, IF(ISERROR(FIND("]",$A176,1)),"]",""), ".", IF(ISERROR(FIND("[",$B176,1)),"[",""), $B176, IF(ISERROR(FIND("]",$B176,1)),"]","")))), " TO ", IF(ISERROR(FIND("[",D$8,1)),"[",""), D$8, IF(ISERROR(FIND("]",D$8,1)),"]",""),";" ))</f>
        <v>GRANT SELECT, REFERENCES ON [Utility].[GetDateSequence] TO [R_DemandaDW];</v>
      </c>
    </row>
    <row r="177" spans="1:4" ht="33.75" x14ac:dyDescent="0.2">
      <c r="A177" s="77" t="s">
        <v>144</v>
      </c>
      <c r="B177" s="77" t="s">
        <v>287</v>
      </c>
      <c r="C177" s="78" t="s">
        <v>273</v>
      </c>
      <c r="D177" s="79" t="str">
        <f>IF(OR($A177="", C177=""), "", CONCATENATE("GRANT ", IF(NOT(ISERROR(FIND("H",C177,1))), CONCATENATE("EXECUTE ON XML SCHEMA COLLECTION::",IF(ISERROR(FIND("[",$A177,1)),"[",""), $A177, IF(ISERROR(FIND("]",$A177,1)),"]",""), ".", IF(ISERROR(FIND("[",$B177,1)),"[",""), $B177, IF(ISERROR(FIND("]",$B177,1)),"]","")),IF(NOT(ISERROR(FIND("N",C177,1))), CONCATENATE("SEND ON SERVICE::",IF(ISERROR(FIND("[",$B177,1)),"[",""), $B177, IF(ISERROR(FIND("]",$B177,1)),"]","")),CONCATENATE(LEFT(CONCATENATE(IF(ISERROR(FIND("V",C177,1)),"","RECEIVE, "), IF(ISERROR(FIND("C",C177,1)),"","INSERT, "),IF(ISERROR(FIND("R",C177,1)),"","SELECT, "), IF(ISERROR(FIND("U",C177,1)),"","UPDATE, "),IF(ISERROR(FIND("D",C177,1)),"","DELETE, "), IF(ISERROR(FIND("X",C177,1)),"","EXECUTE, "), IF(ISERROR(FIND("F",C177,1)),"","REFERENCES")),IF(ISERROR(FIND("F",C177,1)), LEN(CONCATENATE(IF(ISERROR(FIND("V",C177,1)),"","RECEIVE, "), IF(ISERROR(FIND("C",C177,1)),"","INSERT, "),IF(ISERROR(FIND("R",C177,1)),"","SELECT, "), IF(ISERROR(FIND("U",C177,1)),"","UPDATE, "),IF(ISERROR(FIND("D",C177,1)),"","DELETE, "), IF(ISERROR(FIND("X",C177,1)),"","EXECUTE, ")))-2,LEN(CONCATENATE(IF(ISERROR(FIND("V",C177,1)),"","RECEIVE, "), IF(ISERROR(FIND("C",C177,1)),"","INSERT, "),IF(ISERROR(FIND("R",C177,1)),"","SELECT, "), IF(ISERROR(FIND("U",C177,1)),"","UPDATE, "),IF(ISERROR(FIND("D",C177,1)),"","DELETE, "), IF(ISERROR(FIND("X",C177,1)),"","EXECUTE, "),IF(ISERROR(FIND("F",C177,1)),"","REFERENCES"))))), " ON ",IF(ISERROR(FIND("[",$A177,1)),"[",""), $A177, IF(ISERROR(FIND("]",$A177,1)),"]",""), ".", IF(ISERROR(FIND("[",$B177,1)),"[",""), $B177, IF(ISERROR(FIND("]",$B177,1)),"]","")))), " TO ", IF(ISERROR(FIND("[",D$8,1)),"[",""), D$8, IF(ISERROR(FIND("]",D$8,1)),"]",""),";" ))</f>
        <v>GRANT SELECT, REFERENCES ON [Utility].[GetParameters_SPFunction] TO [R_DemandaDW];</v>
      </c>
    </row>
    <row r="178" spans="1:4" ht="33.75" x14ac:dyDescent="0.2">
      <c r="A178" s="77" t="s">
        <v>144</v>
      </c>
      <c r="B178" s="77" t="s">
        <v>288</v>
      </c>
      <c r="C178" s="78" t="s">
        <v>273</v>
      </c>
      <c r="D178" s="79" t="str">
        <f>IF(OR($A178="", C178=""), "", CONCATENATE("GRANT ", IF(NOT(ISERROR(FIND("H",C178,1))), CONCATENATE("EXECUTE ON XML SCHEMA COLLECTION::",IF(ISERROR(FIND("[",$A178,1)),"[",""), $A178, IF(ISERROR(FIND("]",$A178,1)),"]",""), ".", IF(ISERROR(FIND("[",$B178,1)),"[",""), $B178, IF(ISERROR(FIND("]",$B178,1)),"]","")),IF(NOT(ISERROR(FIND("N",C178,1))), CONCATENATE("SEND ON SERVICE::",IF(ISERROR(FIND("[",$B178,1)),"[",""), $B178, IF(ISERROR(FIND("]",$B178,1)),"]","")),CONCATENATE(LEFT(CONCATENATE(IF(ISERROR(FIND("V",C178,1)),"","RECEIVE, "), IF(ISERROR(FIND("C",C178,1)),"","INSERT, "),IF(ISERROR(FIND("R",C178,1)),"","SELECT, "), IF(ISERROR(FIND("U",C178,1)),"","UPDATE, "),IF(ISERROR(FIND("D",C178,1)),"","DELETE, "), IF(ISERROR(FIND("X",C178,1)),"","EXECUTE, "), IF(ISERROR(FIND("F",C178,1)),"","REFERENCES")),IF(ISERROR(FIND("F",C178,1)), LEN(CONCATENATE(IF(ISERROR(FIND("V",C178,1)),"","RECEIVE, "), IF(ISERROR(FIND("C",C178,1)),"","INSERT, "),IF(ISERROR(FIND("R",C178,1)),"","SELECT, "), IF(ISERROR(FIND("U",C178,1)),"","UPDATE, "),IF(ISERROR(FIND("D",C178,1)),"","DELETE, "), IF(ISERROR(FIND("X",C178,1)),"","EXECUTE, ")))-2,LEN(CONCATENATE(IF(ISERROR(FIND("V",C178,1)),"","RECEIVE, "), IF(ISERROR(FIND("C",C178,1)),"","INSERT, "),IF(ISERROR(FIND("R",C178,1)),"","SELECT, "), IF(ISERROR(FIND("U",C178,1)),"","UPDATE, "),IF(ISERROR(FIND("D",C178,1)),"","DELETE, "), IF(ISERROR(FIND("X",C178,1)),"","EXECUTE, "),IF(ISERROR(FIND("F",C178,1)),"","REFERENCES"))))), " ON ",IF(ISERROR(FIND("[",$A178,1)),"[",""), $A178, IF(ISERROR(FIND("]",$A178,1)),"]",""), ".", IF(ISERROR(FIND("[",$B178,1)),"[",""), $B178, IF(ISERROR(FIND("]",$B178,1)),"]","")))), " TO ", IF(ISERROR(FIND("[",D$8,1)),"[",""), D$8, IF(ISERROR(FIND("]",D$8,1)),"]",""),";" ))</f>
        <v>GRANT SELECT, REFERENCES ON [Utility].[GetParametersModuleProgramming] TO [R_DemandaDW];</v>
      </c>
    </row>
    <row r="179" spans="1:4" ht="22.5" x14ac:dyDescent="0.2">
      <c r="A179" s="77" t="s">
        <v>144</v>
      </c>
      <c r="B179" s="77" t="s">
        <v>289</v>
      </c>
      <c r="C179" s="78" t="s">
        <v>273</v>
      </c>
      <c r="D179" s="79" t="str">
        <f>IF(OR($A179="", C179=""), "", CONCATENATE("GRANT ", IF(NOT(ISERROR(FIND("H",C179,1))), CONCATENATE("EXECUTE ON XML SCHEMA COLLECTION::",IF(ISERROR(FIND("[",$A179,1)),"[",""), $A179, IF(ISERROR(FIND("]",$A179,1)),"]",""), ".", IF(ISERROR(FIND("[",$B179,1)),"[",""), $B179, IF(ISERROR(FIND("]",$B179,1)),"]","")),IF(NOT(ISERROR(FIND("N",C179,1))), CONCATENATE("SEND ON SERVICE::",IF(ISERROR(FIND("[",$B179,1)),"[",""), $B179, IF(ISERROR(FIND("]",$B179,1)),"]","")),CONCATENATE(LEFT(CONCATENATE(IF(ISERROR(FIND("V",C179,1)),"","RECEIVE, "), IF(ISERROR(FIND("C",C179,1)),"","INSERT, "),IF(ISERROR(FIND("R",C179,1)),"","SELECT, "), IF(ISERROR(FIND("U",C179,1)),"","UPDATE, "),IF(ISERROR(FIND("D",C179,1)),"","DELETE, "), IF(ISERROR(FIND("X",C179,1)),"","EXECUTE, "), IF(ISERROR(FIND("F",C179,1)),"","REFERENCES")),IF(ISERROR(FIND("F",C179,1)), LEN(CONCATENATE(IF(ISERROR(FIND("V",C179,1)),"","RECEIVE, "), IF(ISERROR(FIND("C",C179,1)),"","INSERT, "),IF(ISERROR(FIND("R",C179,1)),"","SELECT, "), IF(ISERROR(FIND("U",C179,1)),"","UPDATE, "),IF(ISERROR(FIND("D",C179,1)),"","DELETE, "), IF(ISERROR(FIND("X",C179,1)),"","EXECUTE, ")))-2,LEN(CONCATENATE(IF(ISERROR(FIND("V",C179,1)),"","RECEIVE, "), IF(ISERROR(FIND("C",C179,1)),"","INSERT, "),IF(ISERROR(FIND("R",C179,1)),"","SELECT, "), IF(ISERROR(FIND("U",C179,1)),"","UPDATE, "),IF(ISERROR(FIND("D",C179,1)),"","DELETE, "), IF(ISERROR(FIND("X",C179,1)),"","EXECUTE, "),IF(ISERROR(FIND("F",C179,1)),"","REFERENCES"))))), " ON ",IF(ISERROR(FIND("[",$A179,1)),"[",""), $A179, IF(ISERROR(FIND("]",$A179,1)),"]",""), ".", IF(ISERROR(FIND("[",$B179,1)),"[",""), $B179, IF(ISERROR(FIND("]",$B179,1)),"]","")))), " TO ", IF(ISERROR(FIND("[",D$8,1)),"[",""), D$8, IF(ISERROR(FIND("]",D$8,1)),"]",""),";" ))</f>
        <v>GRANT SELECT, REFERENCES ON [Utility].[GetPeriod] TO [R_DemandaDW];</v>
      </c>
    </row>
    <row r="180" spans="1:4" ht="22.5" x14ac:dyDescent="0.2">
      <c r="A180" s="77" t="s">
        <v>144</v>
      </c>
      <c r="B180" s="77" t="s">
        <v>290</v>
      </c>
      <c r="C180" s="78" t="s">
        <v>273</v>
      </c>
      <c r="D180" s="79" t="str">
        <f>IF(OR($A180="", C180=""), "", CONCATENATE("GRANT ", IF(NOT(ISERROR(FIND("H",C180,1))), CONCATENATE("EXECUTE ON XML SCHEMA COLLECTION::",IF(ISERROR(FIND("[",$A180,1)),"[",""), $A180, IF(ISERROR(FIND("]",$A180,1)),"]",""), ".", IF(ISERROR(FIND("[",$B180,1)),"[",""), $B180, IF(ISERROR(FIND("]",$B180,1)),"]","")),IF(NOT(ISERROR(FIND("N",C180,1))), CONCATENATE("SEND ON SERVICE::",IF(ISERROR(FIND("[",$B180,1)),"[",""), $B180, IF(ISERROR(FIND("]",$B180,1)),"]","")),CONCATENATE(LEFT(CONCATENATE(IF(ISERROR(FIND("V",C180,1)),"","RECEIVE, "), IF(ISERROR(FIND("C",C180,1)),"","INSERT, "),IF(ISERROR(FIND("R",C180,1)),"","SELECT, "), IF(ISERROR(FIND("U",C180,1)),"","UPDATE, "),IF(ISERROR(FIND("D",C180,1)),"","DELETE, "), IF(ISERROR(FIND("X",C180,1)),"","EXECUTE, "), IF(ISERROR(FIND("F",C180,1)),"","REFERENCES")),IF(ISERROR(FIND("F",C180,1)), LEN(CONCATENATE(IF(ISERROR(FIND("V",C180,1)),"","RECEIVE, "), IF(ISERROR(FIND("C",C180,1)),"","INSERT, "),IF(ISERROR(FIND("R",C180,1)),"","SELECT, "), IF(ISERROR(FIND("U",C180,1)),"","UPDATE, "),IF(ISERROR(FIND("D",C180,1)),"","DELETE, "), IF(ISERROR(FIND("X",C180,1)),"","EXECUTE, ")))-2,LEN(CONCATENATE(IF(ISERROR(FIND("V",C180,1)),"","RECEIVE, "), IF(ISERROR(FIND("C",C180,1)),"","INSERT, "),IF(ISERROR(FIND("R",C180,1)),"","SELECT, "), IF(ISERROR(FIND("U",C180,1)),"","UPDATE, "),IF(ISERROR(FIND("D",C180,1)),"","DELETE, "), IF(ISERROR(FIND("X",C180,1)),"","EXECUTE, "),IF(ISERROR(FIND("F",C180,1)),"","REFERENCES"))))), " ON ",IF(ISERROR(FIND("[",$A180,1)),"[",""), $A180, IF(ISERROR(FIND("]",$A180,1)),"]",""), ".", IF(ISERROR(FIND("[",$B180,1)),"[",""), $B180, IF(ISERROR(FIND("]",$B180,1)),"]","")))), " TO ", IF(ISERROR(FIND("[",D$8,1)),"[",""), D$8, IF(ISERROR(FIND("]",D$8,1)),"]",""),";" ))</f>
        <v>GRANT SELECT, REFERENCES ON [Utility].[GetTimeHourParts] TO [R_DemandaDW];</v>
      </c>
    </row>
    <row r="181" spans="1:4" ht="22.5" x14ac:dyDescent="0.2">
      <c r="A181" s="77" t="s">
        <v>144</v>
      </c>
      <c r="B181" s="77" t="s">
        <v>291</v>
      </c>
      <c r="C181" s="78" t="s">
        <v>273</v>
      </c>
      <c r="D181" s="79" t="str">
        <f>IF(OR($A181="", C181=""), "", CONCATENATE("GRANT ", IF(NOT(ISERROR(FIND("H",C181,1))), CONCATENATE("EXECUTE ON XML SCHEMA COLLECTION::",IF(ISERROR(FIND("[",$A181,1)),"[",""), $A181, IF(ISERROR(FIND("]",$A181,1)),"]",""), ".", IF(ISERROR(FIND("[",$B181,1)),"[",""), $B181, IF(ISERROR(FIND("]",$B181,1)),"]","")),IF(NOT(ISERROR(FIND("N",C181,1))), CONCATENATE("SEND ON SERVICE::",IF(ISERROR(FIND("[",$B181,1)),"[",""), $B181, IF(ISERROR(FIND("]",$B181,1)),"]","")),CONCATENATE(LEFT(CONCATENATE(IF(ISERROR(FIND("V",C181,1)),"","RECEIVE, "), IF(ISERROR(FIND("C",C181,1)),"","INSERT, "),IF(ISERROR(FIND("R",C181,1)),"","SELECT, "), IF(ISERROR(FIND("U",C181,1)),"","UPDATE, "),IF(ISERROR(FIND("D",C181,1)),"","DELETE, "), IF(ISERROR(FIND("X",C181,1)),"","EXECUTE, "), IF(ISERROR(FIND("F",C181,1)),"","REFERENCES")),IF(ISERROR(FIND("F",C181,1)), LEN(CONCATENATE(IF(ISERROR(FIND("V",C181,1)),"","RECEIVE, "), IF(ISERROR(FIND("C",C181,1)),"","INSERT, "),IF(ISERROR(FIND("R",C181,1)),"","SELECT, "), IF(ISERROR(FIND("U",C181,1)),"","UPDATE, "),IF(ISERROR(FIND("D",C181,1)),"","DELETE, "), IF(ISERROR(FIND("X",C181,1)),"","EXECUTE, ")))-2,LEN(CONCATENATE(IF(ISERROR(FIND("V",C181,1)),"","RECEIVE, "), IF(ISERROR(FIND("C",C181,1)),"","INSERT, "),IF(ISERROR(FIND("R",C181,1)),"","SELECT, "), IF(ISERROR(FIND("U",C181,1)),"","UPDATE, "),IF(ISERROR(FIND("D",C181,1)),"","DELETE, "), IF(ISERROR(FIND("X",C181,1)),"","EXECUTE, "),IF(ISERROR(FIND("F",C181,1)),"","REFERENCES"))))), " ON ",IF(ISERROR(FIND("[",$A181,1)),"[",""), $A181, IF(ISERROR(FIND("]",$A181,1)),"]",""), ".", IF(ISERROR(FIND("[",$B181,1)),"[",""), $B181, IF(ISERROR(FIND("]",$B181,1)),"]","")))), " TO ", IF(ISERROR(FIND("[",D$8,1)),"[",""), D$8, IF(ISERROR(FIND("]",D$8,1)),"]",""),";" ))</f>
        <v>GRANT SELECT, REFERENCES ON [Utility].[GetTimeParts] TO [R_DemandaDW];</v>
      </c>
    </row>
    <row r="182" spans="1:4" x14ac:dyDescent="0.2">
      <c r="A182" s="77" t="s">
        <v>165</v>
      </c>
      <c r="B182" s="77" t="s">
        <v>165</v>
      </c>
      <c r="C182" s="78" t="s">
        <v>273</v>
      </c>
      <c r="D182" s="79" t="str">
        <f>IF(OR($A182="", C182=""), "", CONCATENATE("GRANT ", IF(NOT(ISERROR(FIND("H",C182,1))), CONCATENATE("EXECUTE ON XML SCHEMA COLLECTION::",IF(ISERROR(FIND("[",$A182,1)),"[",""), $A182, IF(ISERROR(FIND("]",$A182,1)),"]",""), ".", IF(ISERROR(FIND("[",$B182,1)),"[",""), $B182, IF(ISERROR(FIND("]",$B182,1)),"]","")),IF(NOT(ISERROR(FIND("N",C182,1))), CONCATENATE("SEND ON SERVICE::",IF(ISERROR(FIND("[",$B182,1)),"[",""), $B182, IF(ISERROR(FIND("]",$B182,1)),"]","")),CONCATENATE(LEFT(CONCATENATE(IF(ISERROR(FIND("V",C182,1)),"","RECEIVE, "), IF(ISERROR(FIND("C",C182,1)),"","INSERT, "),IF(ISERROR(FIND("R",C182,1)),"","SELECT, "), IF(ISERROR(FIND("U",C182,1)),"","UPDATE, "),IF(ISERROR(FIND("D",C182,1)),"","DELETE, "), IF(ISERROR(FIND("X",C182,1)),"","EXECUTE, "), IF(ISERROR(FIND("F",C182,1)),"","REFERENCES")),IF(ISERROR(FIND("F",C182,1)), LEN(CONCATENATE(IF(ISERROR(FIND("V",C182,1)),"","RECEIVE, "), IF(ISERROR(FIND("C",C182,1)),"","INSERT, "),IF(ISERROR(FIND("R",C182,1)),"","SELECT, "), IF(ISERROR(FIND("U",C182,1)),"","UPDATE, "),IF(ISERROR(FIND("D",C182,1)),"","DELETE, "), IF(ISERROR(FIND("X",C182,1)),"","EXECUTE, ")))-2,LEN(CONCATENATE(IF(ISERROR(FIND("V",C182,1)),"","RECEIVE, "), IF(ISERROR(FIND("C",C182,1)),"","INSERT, "),IF(ISERROR(FIND("R",C182,1)),"","SELECT, "), IF(ISERROR(FIND("U",C182,1)),"","UPDATE, "),IF(ISERROR(FIND("D",C182,1)),"","DELETE, "), IF(ISERROR(FIND("X",C182,1)),"","EXECUTE, "),IF(ISERROR(FIND("F",C182,1)),"","REFERENCES"))))), " ON ",IF(ISERROR(FIND("[",$A182,1)),"[",""), $A182, IF(ISERROR(FIND("]",$A182,1)),"]",""), ".", IF(ISERROR(FIND("[",$B182,1)),"[",""), $B182, IF(ISERROR(FIND("]",$B182,1)),"]","")))), " TO ", IF(ISERROR(FIND("[",D$8,1)),"[",""), D$8, IF(ISERROR(FIND("]",D$8,1)),"]",""),";" ))</f>
        <v/>
      </c>
    </row>
    <row r="183" spans="1:4" x14ac:dyDescent="0.2">
      <c r="A183" s="77" t="s">
        <v>165</v>
      </c>
      <c r="B183" s="77" t="s">
        <v>165</v>
      </c>
      <c r="C183" s="78" t="s">
        <v>273</v>
      </c>
      <c r="D183" s="79" t="str">
        <f>IF(OR($A183="", C183=""), "", CONCATENATE("GRANT ", IF(NOT(ISERROR(FIND("H",C183,1))), CONCATENATE("EXECUTE ON XML SCHEMA COLLECTION::",IF(ISERROR(FIND("[",$A183,1)),"[",""), $A183, IF(ISERROR(FIND("]",$A183,1)),"]",""), ".", IF(ISERROR(FIND("[",$B183,1)),"[",""), $B183, IF(ISERROR(FIND("]",$B183,1)),"]","")),IF(NOT(ISERROR(FIND("N",C183,1))), CONCATENATE("SEND ON SERVICE::",IF(ISERROR(FIND("[",$B183,1)),"[",""), $B183, IF(ISERROR(FIND("]",$B183,1)),"]","")),CONCATENATE(LEFT(CONCATENATE(IF(ISERROR(FIND("V",C183,1)),"","RECEIVE, "), IF(ISERROR(FIND("C",C183,1)),"","INSERT, "),IF(ISERROR(FIND("R",C183,1)),"","SELECT, "), IF(ISERROR(FIND("U",C183,1)),"","UPDATE, "),IF(ISERROR(FIND("D",C183,1)),"","DELETE, "), IF(ISERROR(FIND("X",C183,1)),"","EXECUTE, "), IF(ISERROR(FIND("F",C183,1)),"","REFERENCES")),IF(ISERROR(FIND("F",C183,1)), LEN(CONCATENATE(IF(ISERROR(FIND("V",C183,1)),"","RECEIVE, "), IF(ISERROR(FIND("C",C183,1)),"","INSERT, "),IF(ISERROR(FIND("R",C183,1)),"","SELECT, "), IF(ISERROR(FIND("U",C183,1)),"","UPDATE, "),IF(ISERROR(FIND("D",C183,1)),"","DELETE, "), IF(ISERROR(FIND("X",C183,1)),"","EXECUTE, ")))-2,LEN(CONCATENATE(IF(ISERROR(FIND("V",C183,1)),"","RECEIVE, "), IF(ISERROR(FIND("C",C183,1)),"","INSERT, "),IF(ISERROR(FIND("R",C183,1)),"","SELECT, "), IF(ISERROR(FIND("U",C183,1)),"","UPDATE, "),IF(ISERROR(FIND("D",C183,1)),"","DELETE, "), IF(ISERROR(FIND("X",C183,1)),"","EXECUTE, "),IF(ISERROR(FIND("F",C183,1)),"","REFERENCES"))))), " ON ",IF(ISERROR(FIND("[",$A183,1)),"[",""), $A183, IF(ISERROR(FIND("]",$A183,1)),"]",""), ".", IF(ISERROR(FIND("[",$B183,1)),"[",""), $B183, IF(ISERROR(FIND("]",$B183,1)),"]","")))), " TO ", IF(ISERROR(FIND("[",D$8,1)),"[",""), D$8, IF(ISERROR(FIND("]",D$8,1)),"]",""),";" ))</f>
        <v/>
      </c>
    </row>
    <row r="184" spans="1:4" x14ac:dyDescent="0.2">
      <c r="A184" s="69" t="s">
        <v>271</v>
      </c>
      <c r="B184" s="70"/>
      <c r="C184" s="70"/>
      <c r="D184" s="70"/>
    </row>
    <row r="185" spans="1:4" x14ac:dyDescent="0.2">
      <c r="A185" s="77" t="s">
        <v>165</v>
      </c>
      <c r="B185" s="77" t="s">
        <v>165</v>
      </c>
      <c r="C185" s="78" t="s">
        <v>273</v>
      </c>
      <c r="D185" s="79" t="str">
        <f>IF(OR($A185="", C185=""), "", CONCATENATE("GRANT ", IF(NOT(ISERROR(FIND("H",C185,1))), CONCATENATE("EXECUTE ON XML SCHEMA COLLECTION::",IF(ISERROR(FIND("[",$A185,1)),"[",""), $A185, IF(ISERROR(FIND("]",$A185,1)),"]",""), ".", IF(ISERROR(FIND("[",$B185,1)),"[",""), $B185, IF(ISERROR(FIND("]",$B185,1)),"]","")),IF(NOT(ISERROR(FIND("N",C185,1))), CONCATENATE("SEND ON SERVICE::",IF(ISERROR(FIND("[",$B185,1)),"[",""), $B185, IF(ISERROR(FIND("]",$B185,1)),"]","")),CONCATENATE(LEFT(CONCATENATE(IF(ISERROR(FIND("V",C185,1)),"","RECEIVE, "), IF(ISERROR(FIND("C",C185,1)),"","INSERT, "),IF(ISERROR(FIND("R",C185,1)),"","SELECT, "), IF(ISERROR(FIND("U",C185,1)),"","UPDATE, "),IF(ISERROR(FIND("D",C185,1)),"","DELETE, "), IF(ISERROR(FIND("X",C185,1)),"","EXECUTE, "), IF(ISERROR(FIND("F",C185,1)),"","REFERENCES")),IF(ISERROR(FIND("F",C185,1)), LEN(CONCATENATE(IF(ISERROR(FIND("V",C185,1)),"","RECEIVE, "), IF(ISERROR(FIND("C",C185,1)),"","INSERT, "),IF(ISERROR(FIND("R",C185,1)),"","SELECT, "), IF(ISERROR(FIND("U",C185,1)),"","UPDATE, "),IF(ISERROR(FIND("D",C185,1)),"","DELETE, "), IF(ISERROR(FIND("X",C185,1)),"","EXECUTE, ")))-2,LEN(CONCATENATE(IF(ISERROR(FIND("V",C185,1)),"","RECEIVE, "), IF(ISERROR(FIND("C",C185,1)),"","INSERT, "),IF(ISERROR(FIND("R",C185,1)),"","SELECT, "), IF(ISERROR(FIND("U",C185,1)),"","UPDATE, "),IF(ISERROR(FIND("D",C185,1)),"","DELETE, "), IF(ISERROR(FIND("X",C185,1)),"","EXECUTE, "),IF(ISERROR(FIND("F",C185,1)),"","REFERENCES"))))), " ON ",IF(ISERROR(FIND("[",$A185,1)),"[",""), $A185, IF(ISERROR(FIND("]",$A185,1)),"]",""), ".", IF(ISERROR(FIND("[",$B185,1)),"[",""), $B185, IF(ISERROR(FIND("]",$B185,1)),"]","")))), " TO ", IF(ISERROR(FIND("[",D$8,1)),"[",""), D$8, IF(ISERROR(FIND("]",D$8,1)),"]",""),";" ))</f>
        <v/>
      </c>
    </row>
    <row r="186" spans="1:4" x14ac:dyDescent="0.2">
      <c r="A186" s="77" t="s">
        <v>165</v>
      </c>
      <c r="B186" s="77" t="s">
        <v>165</v>
      </c>
      <c r="C186" s="78" t="s">
        <v>273</v>
      </c>
      <c r="D186" s="79" t="str">
        <f>IF(OR($A186="", C186=""), "", CONCATENATE("GRANT ", IF(NOT(ISERROR(FIND("H",C186,1))), CONCATENATE("EXECUTE ON XML SCHEMA COLLECTION::",IF(ISERROR(FIND("[",$A186,1)),"[",""), $A186, IF(ISERROR(FIND("]",$A186,1)),"]",""), ".", IF(ISERROR(FIND("[",$B186,1)),"[",""), $B186, IF(ISERROR(FIND("]",$B186,1)),"]","")),IF(NOT(ISERROR(FIND("N",C186,1))), CONCATENATE("SEND ON SERVICE::",IF(ISERROR(FIND("[",$B186,1)),"[",""), $B186, IF(ISERROR(FIND("]",$B186,1)),"]","")),CONCATENATE(LEFT(CONCATENATE(IF(ISERROR(FIND("V",C186,1)),"","RECEIVE, "), IF(ISERROR(FIND("C",C186,1)),"","INSERT, "),IF(ISERROR(FIND("R",C186,1)),"","SELECT, "), IF(ISERROR(FIND("U",C186,1)),"","UPDATE, "),IF(ISERROR(FIND("D",C186,1)),"","DELETE, "), IF(ISERROR(FIND("X",C186,1)),"","EXECUTE, "), IF(ISERROR(FIND("F",C186,1)),"","REFERENCES")),IF(ISERROR(FIND("F",C186,1)), LEN(CONCATENATE(IF(ISERROR(FIND("V",C186,1)),"","RECEIVE, "), IF(ISERROR(FIND("C",C186,1)),"","INSERT, "),IF(ISERROR(FIND("R",C186,1)),"","SELECT, "), IF(ISERROR(FIND("U",C186,1)),"","UPDATE, "),IF(ISERROR(FIND("D",C186,1)),"","DELETE, "), IF(ISERROR(FIND("X",C186,1)),"","EXECUTE, ")))-2,LEN(CONCATENATE(IF(ISERROR(FIND("V",C186,1)),"","RECEIVE, "), IF(ISERROR(FIND("C",C186,1)),"","INSERT, "),IF(ISERROR(FIND("R",C186,1)),"","SELECT, "), IF(ISERROR(FIND("U",C186,1)),"","UPDATE, "),IF(ISERROR(FIND("D",C186,1)),"","DELETE, "), IF(ISERROR(FIND("X",C186,1)),"","EXECUTE, "),IF(ISERROR(FIND("F",C186,1)),"","REFERENCES"))))), " ON ",IF(ISERROR(FIND("[",$A186,1)),"[",""), $A186, IF(ISERROR(FIND("]",$A186,1)),"]",""), ".", IF(ISERROR(FIND("[",$B186,1)),"[",""), $B186, IF(ISERROR(FIND("]",$B186,1)),"]","")))), " TO ", IF(ISERROR(FIND("[",D$8,1)),"[",""), D$8, IF(ISERROR(FIND("]",D$8,1)),"]",""),";" ))</f>
        <v/>
      </c>
    </row>
    <row r="187" spans="1:4" x14ac:dyDescent="0.2">
      <c r="A187" s="69" t="s">
        <v>292</v>
      </c>
      <c r="B187" s="70"/>
      <c r="C187" s="70"/>
      <c r="D187" s="70"/>
    </row>
    <row r="188" spans="1:4" x14ac:dyDescent="0.2">
      <c r="A188" s="80" t="s">
        <v>165</v>
      </c>
      <c r="B188" s="80" t="s">
        <v>165</v>
      </c>
      <c r="C188" s="81" t="s">
        <v>24</v>
      </c>
      <c r="D188" s="82" t="str">
        <f>IF(OR($A188="", C188=""), "", CONCATENATE("GRANT ", IF(NOT(ISERROR(FIND("H",C188,1))), CONCATENATE("EXECUTE ON XML SCHEMA COLLECTION::",IF(ISERROR(FIND("[",$A188,1)),"[",""), $A188, IF(ISERROR(FIND("]",$A188,1)),"]",""), ".", IF(ISERROR(FIND("[",$B188,1)),"[",""), $B188, IF(ISERROR(FIND("]",$B188,1)),"]","")),IF(NOT(ISERROR(FIND("N",C188,1))), CONCATENATE("SEND ON SERVICE::",IF(ISERROR(FIND("[",$B188,1)),"[",""), $B188, IF(ISERROR(FIND("]",$B188,1)),"]","")),CONCATENATE(LEFT(CONCATENATE(IF(ISERROR(FIND("V",C188,1)),"","RECEIVE, "), IF(ISERROR(FIND("C",C188,1)),"","INSERT, "),IF(ISERROR(FIND("R",C188,1)),"","SELECT, "), IF(ISERROR(FIND("U",C188,1)),"","UPDATE, "),IF(ISERROR(FIND("D",C188,1)),"","DELETE, "), IF(ISERROR(FIND("X",C188,1)),"","EXECUTE, "), IF(ISERROR(FIND("F",C188,1)),"","REFERENCES")),IF(ISERROR(FIND("F",C188,1)), LEN(CONCATENATE(IF(ISERROR(FIND("V",C188,1)),"","RECEIVE, "), IF(ISERROR(FIND("C",C188,1)),"","INSERT, "),IF(ISERROR(FIND("R",C188,1)),"","SELECT, "), IF(ISERROR(FIND("U",C188,1)),"","UPDATE, "),IF(ISERROR(FIND("D",C188,1)),"","DELETE, "), IF(ISERROR(FIND("X",C188,1)),"","EXECUTE, ")))-2,LEN(CONCATENATE(IF(ISERROR(FIND("V",C188,1)),"","RECEIVE, "), IF(ISERROR(FIND("C",C188,1)),"","INSERT, "),IF(ISERROR(FIND("R",C188,1)),"","SELECT, "), IF(ISERROR(FIND("U",C188,1)),"","UPDATE, "),IF(ISERROR(FIND("D",C188,1)),"","DELETE, "), IF(ISERROR(FIND("X",C188,1)),"","EXECUTE, "),IF(ISERROR(FIND("F",C188,1)),"","REFERENCES"))))), " ON ",IF(ISERROR(FIND("[",$A188,1)),"[",""), $A188, IF(ISERROR(FIND("]",$A188,1)),"]",""), ".", IF(ISERROR(FIND("[",$B188,1)),"[",""), $B188, IF(ISERROR(FIND("]",$B188,1)),"]","")))), " TO ", IF(ISERROR(FIND("[",D$8,1)),"[",""), D$8, IF(ISERROR(FIND("]",D$8,1)),"]",""),";" ))</f>
        <v/>
      </c>
    </row>
    <row r="189" spans="1:4" x14ac:dyDescent="0.2">
      <c r="A189" s="80" t="s">
        <v>165</v>
      </c>
      <c r="B189" s="80" t="s">
        <v>165</v>
      </c>
      <c r="C189" s="81" t="s">
        <v>24</v>
      </c>
      <c r="D189" s="82" t="str">
        <f>IF(OR($A189="", C189=""), "", CONCATENATE("GRANT ", IF(NOT(ISERROR(FIND("H",C189,1))), CONCATENATE("EXECUTE ON XML SCHEMA COLLECTION::",IF(ISERROR(FIND("[",$A189,1)),"[",""), $A189, IF(ISERROR(FIND("]",$A189,1)),"]",""), ".", IF(ISERROR(FIND("[",$B189,1)),"[",""), $B189, IF(ISERROR(FIND("]",$B189,1)),"]","")),IF(NOT(ISERROR(FIND("N",C189,1))), CONCATENATE("SEND ON SERVICE::",IF(ISERROR(FIND("[",$B189,1)),"[",""), $B189, IF(ISERROR(FIND("]",$B189,1)),"]","")),CONCATENATE(LEFT(CONCATENATE(IF(ISERROR(FIND("V",C189,1)),"","RECEIVE, "), IF(ISERROR(FIND("C",C189,1)),"","INSERT, "),IF(ISERROR(FIND("R",C189,1)),"","SELECT, "), IF(ISERROR(FIND("U",C189,1)),"","UPDATE, "),IF(ISERROR(FIND("D",C189,1)),"","DELETE, "), IF(ISERROR(FIND("X",C189,1)),"","EXECUTE, "), IF(ISERROR(FIND("F",C189,1)),"","REFERENCES")),IF(ISERROR(FIND("F",C189,1)), LEN(CONCATENATE(IF(ISERROR(FIND("V",C189,1)),"","RECEIVE, "), IF(ISERROR(FIND("C",C189,1)),"","INSERT, "),IF(ISERROR(FIND("R",C189,1)),"","SELECT, "), IF(ISERROR(FIND("U",C189,1)),"","UPDATE, "),IF(ISERROR(FIND("D",C189,1)),"","DELETE, "), IF(ISERROR(FIND("X",C189,1)),"","EXECUTE, ")))-2,LEN(CONCATENATE(IF(ISERROR(FIND("V",C189,1)),"","RECEIVE, "), IF(ISERROR(FIND("C",C189,1)),"","INSERT, "),IF(ISERROR(FIND("R",C189,1)),"","SELECT, "), IF(ISERROR(FIND("U",C189,1)),"","UPDATE, "),IF(ISERROR(FIND("D",C189,1)),"","DELETE, "), IF(ISERROR(FIND("X",C189,1)),"","EXECUTE, "),IF(ISERROR(FIND("F",C189,1)),"","REFERENCES"))))), " ON ",IF(ISERROR(FIND("[",$A189,1)),"[",""), $A189, IF(ISERROR(FIND("]",$A189,1)),"]",""), ".", IF(ISERROR(FIND("[",$B189,1)),"[",""), $B189, IF(ISERROR(FIND("]",$B189,1)),"]","")))), " TO ", IF(ISERROR(FIND("[",D$8,1)),"[",""), D$8, IF(ISERROR(FIND("]",D$8,1)),"]",""),";" ))</f>
        <v/>
      </c>
    </row>
    <row r="190" spans="1:4" x14ac:dyDescent="0.2">
      <c r="A190" s="69" t="s">
        <v>293</v>
      </c>
      <c r="B190" s="70"/>
      <c r="C190" s="70"/>
      <c r="D190" s="70"/>
    </row>
    <row r="191" spans="1:4" x14ac:dyDescent="0.2">
      <c r="A191" s="83" t="s">
        <v>165</v>
      </c>
      <c r="B191" s="83" t="s">
        <v>165</v>
      </c>
      <c r="C191" s="84" t="s">
        <v>33</v>
      </c>
      <c r="D191" s="85" t="str">
        <f>IF(OR($A191="", C191=""), "", CONCATENATE("GRANT ", IF(NOT(ISERROR(FIND("H",C191,1))), CONCATENATE("EXECUTE ON XML SCHEMA COLLECTION::",IF(ISERROR(FIND("[",$A191,1)),"[",""), $A191, IF(ISERROR(FIND("]",$A191,1)),"]",""), ".", IF(ISERROR(FIND("[",$B191,1)),"[",""), $B191, IF(ISERROR(FIND("]",$B191,1)),"]","")),IF(NOT(ISERROR(FIND("N",C191,1))), CONCATENATE("SEND ON SERVICE::",IF(ISERROR(FIND("[",$B191,1)),"[",""), $B191, IF(ISERROR(FIND("]",$B191,1)),"]","")),CONCATENATE(LEFT(CONCATENATE(IF(ISERROR(FIND("V",C191,1)),"","RECEIVE, "), IF(ISERROR(FIND("C",C191,1)),"","INSERT, "),IF(ISERROR(FIND("R",C191,1)),"","SELECT, "), IF(ISERROR(FIND("U",C191,1)),"","UPDATE, "),IF(ISERROR(FIND("D",C191,1)),"","DELETE, "), IF(ISERROR(FIND("X",C191,1)),"","EXECUTE, "), IF(ISERROR(FIND("F",C191,1)),"","REFERENCES")),IF(ISERROR(FIND("F",C191,1)), LEN(CONCATENATE(IF(ISERROR(FIND("V",C191,1)),"","RECEIVE, "), IF(ISERROR(FIND("C",C191,1)),"","INSERT, "),IF(ISERROR(FIND("R",C191,1)),"","SELECT, "), IF(ISERROR(FIND("U",C191,1)),"","UPDATE, "),IF(ISERROR(FIND("D",C191,1)),"","DELETE, "), IF(ISERROR(FIND("X",C191,1)),"","EXECUTE, ")))-2,LEN(CONCATENATE(IF(ISERROR(FIND("V",C191,1)),"","RECEIVE, "), IF(ISERROR(FIND("C",C191,1)),"","INSERT, "),IF(ISERROR(FIND("R",C191,1)),"","SELECT, "), IF(ISERROR(FIND("U",C191,1)),"","UPDATE, "),IF(ISERROR(FIND("D",C191,1)),"","DELETE, "), IF(ISERROR(FIND("X",C191,1)),"","EXECUTE, "),IF(ISERROR(FIND("F",C191,1)),"","REFERENCES"))))), " ON ",IF(ISERROR(FIND("[",$A191,1)),"[",""), $A191, IF(ISERROR(FIND("]",$A191,1)),"]",""), ".", IF(ISERROR(FIND("[",$B191,1)),"[",""), $B191, IF(ISERROR(FIND("]",$B191,1)),"]","")))), " TO ", IF(ISERROR(FIND("[",D$8,1)),"[",""), D$8, IF(ISERROR(FIND("]",D$8,1)),"]",""),";" ))</f>
        <v/>
      </c>
    </row>
    <row r="192" spans="1:4" x14ac:dyDescent="0.2">
      <c r="A192" s="83" t="s">
        <v>165</v>
      </c>
      <c r="B192" s="83" t="s">
        <v>165</v>
      </c>
      <c r="C192" s="84" t="s">
        <v>33</v>
      </c>
      <c r="D192" s="85" t="str">
        <f>IF(OR($A192="", C192=""), "", CONCATENATE("GRANT ", IF(NOT(ISERROR(FIND("H",C192,1))), CONCATENATE("EXECUTE ON XML SCHEMA COLLECTION::",IF(ISERROR(FIND("[",$A192,1)),"[",""), $A192, IF(ISERROR(FIND("]",$A192,1)),"]",""), ".", IF(ISERROR(FIND("[",$B192,1)),"[",""), $B192, IF(ISERROR(FIND("]",$B192,1)),"]","")),IF(NOT(ISERROR(FIND("N",C192,1))), CONCATENATE("SEND ON SERVICE::",IF(ISERROR(FIND("[",$B192,1)),"[",""), $B192, IF(ISERROR(FIND("]",$B192,1)),"]","")),CONCATENATE(LEFT(CONCATENATE(IF(ISERROR(FIND("V",C192,1)),"","RECEIVE, "), IF(ISERROR(FIND("C",C192,1)),"","INSERT, "),IF(ISERROR(FIND("R",C192,1)),"","SELECT, "), IF(ISERROR(FIND("U",C192,1)),"","UPDATE, "),IF(ISERROR(FIND("D",C192,1)),"","DELETE, "), IF(ISERROR(FIND("X",C192,1)),"","EXECUTE, "), IF(ISERROR(FIND("F",C192,1)),"","REFERENCES")),IF(ISERROR(FIND("F",C192,1)), LEN(CONCATENATE(IF(ISERROR(FIND("V",C192,1)),"","RECEIVE, "), IF(ISERROR(FIND("C",C192,1)),"","INSERT, "),IF(ISERROR(FIND("R",C192,1)),"","SELECT, "), IF(ISERROR(FIND("U",C192,1)),"","UPDATE, "),IF(ISERROR(FIND("D",C192,1)),"","DELETE, "), IF(ISERROR(FIND("X",C192,1)),"","EXECUTE, ")))-2,LEN(CONCATENATE(IF(ISERROR(FIND("V",C192,1)),"","RECEIVE, "), IF(ISERROR(FIND("C",C192,1)),"","INSERT, "),IF(ISERROR(FIND("R",C192,1)),"","SELECT, "), IF(ISERROR(FIND("U",C192,1)),"","UPDATE, "),IF(ISERROR(FIND("D",C192,1)),"","DELETE, "), IF(ISERROR(FIND("X",C192,1)),"","EXECUTE, "),IF(ISERROR(FIND("F",C192,1)),"","REFERENCES"))))), " ON ",IF(ISERROR(FIND("[",$A192,1)),"[",""), $A192, IF(ISERROR(FIND("]",$A192,1)),"]",""), ".", IF(ISERROR(FIND("[",$B192,1)),"[",""), $B192, IF(ISERROR(FIND("]",$B192,1)),"]","")))), " TO ", IF(ISERROR(FIND("[",D$8,1)),"[",""), D$8, IF(ISERROR(FIND("]",D$8,1)),"]",""),";" ))</f>
        <v/>
      </c>
    </row>
    <row r="193" spans="1:4" x14ac:dyDescent="0.2">
      <c r="A193" s="69" t="s">
        <v>294</v>
      </c>
      <c r="B193" s="70"/>
      <c r="C193" s="70"/>
      <c r="D193" s="70"/>
    </row>
    <row r="194" spans="1:4" x14ac:dyDescent="0.2">
      <c r="A194" s="86" t="s">
        <v>165</v>
      </c>
      <c r="B194" s="86" t="s">
        <v>165</v>
      </c>
      <c r="C194" s="87" t="s">
        <v>34</v>
      </c>
      <c r="D194" s="88" t="str">
        <f>IF(OR($A194="", C194=""), "", CONCATENATE("GRANT ", IF(NOT(ISERROR(FIND("H",C194,1))), CONCATENATE("EXECUTE ON XML SCHEMA COLLECTION::",IF(ISERROR(FIND("[",$A194,1)),"[",""), $A194, IF(ISERROR(FIND("]",$A194,1)),"]",""), ".", IF(ISERROR(FIND("[",$B194,1)),"[",""), $B194, IF(ISERROR(FIND("]",$B194,1)),"]","")),IF(NOT(ISERROR(FIND("N",C194,1))), CONCATENATE("SEND ON SERVICE::",IF(ISERROR(FIND("[",$B194,1)),"[",""), $B194, IF(ISERROR(FIND("]",$B194,1)),"]","")),CONCATENATE(LEFT(CONCATENATE(IF(ISERROR(FIND("V",C194,1)),"","RECEIVE, "), IF(ISERROR(FIND("C",C194,1)),"","INSERT, "),IF(ISERROR(FIND("R",C194,1)),"","SELECT, "), IF(ISERROR(FIND("U",C194,1)),"","UPDATE, "),IF(ISERROR(FIND("D",C194,1)),"","DELETE, "), IF(ISERROR(FIND("X",C194,1)),"","EXECUTE, "), IF(ISERROR(FIND("F",C194,1)),"","REFERENCES")),IF(ISERROR(FIND("F",C194,1)), LEN(CONCATENATE(IF(ISERROR(FIND("V",C194,1)),"","RECEIVE, "), IF(ISERROR(FIND("C",C194,1)),"","INSERT, "),IF(ISERROR(FIND("R",C194,1)),"","SELECT, "), IF(ISERROR(FIND("U",C194,1)),"","UPDATE, "),IF(ISERROR(FIND("D",C194,1)),"","DELETE, "), IF(ISERROR(FIND("X",C194,1)),"","EXECUTE, ")))-2,LEN(CONCATENATE(IF(ISERROR(FIND("V",C194,1)),"","RECEIVE, "), IF(ISERROR(FIND("C",C194,1)),"","INSERT, "),IF(ISERROR(FIND("R",C194,1)),"","SELECT, "), IF(ISERROR(FIND("U",C194,1)),"","UPDATE, "),IF(ISERROR(FIND("D",C194,1)),"","DELETE, "), IF(ISERROR(FIND("X",C194,1)),"","EXECUTE, "),IF(ISERROR(FIND("F",C194,1)),"","REFERENCES"))))), " ON ",IF(ISERROR(FIND("[",$A194,1)),"[",""), $A194, IF(ISERROR(FIND("]",$A194,1)),"]",""), ".", IF(ISERROR(FIND("[",$B194,1)),"[",""), $B194, IF(ISERROR(FIND("]",$B194,1)),"]","")))), " TO ", IF(ISERROR(FIND("[",D$8,1)),"[",""), D$8, IF(ISERROR(FIND("]",D$8,1)),"]",""),";" ))</f>
        <v/>
      </c>
    </row>
    <row r="195" spans="1:4" x14ac:dyDescent="0.2">
      <c r="A195" s="86" t="s">
        <v>165</v>
      </c>
      <c r="B195" s="86" t="s">
        <v>165</v>
      </c>
      <c r="C195" s="87" t="s">
        <v>34</v>
      </c>
      <c r="D195" s="88" t="str">
        <f>IF(OR($A195="", C195=""), "", CONCATENATE("GRANT ", IF(NOT(ISERROR(FIND("H",C195,1))), CONCATENATE("EXECUTE ON XML SCHEMA COLLECTION::",IF(ISERROR(FIND("[",$A195,1)),"[",""), $A195, IF(ISERROR(FIND("]",$A195,1)),"]",""), ".", IF(ISERROR(FIND("[",$B195,1)),"[",""), $B195, IF(ISERROR(FIND("]",$B195,1)),"]","")),IF(NOT(ISERROR(FIND("N",C195,1))), CONCATENATE("SEND ON SERVICE::",IF(ISERROR(FIND("[",$B195,1)),"[",""), $B195, IF(ISERROR(FIND("]",$B195,1)),"]","")),CONCATENATE(LEFT(CONCATENATE(IF(ISERROR(FIND("V",C195,1)),"","RECEIVE, "), IF(ISERROR(FIND("C",C195,1)),"","INSERT, "),IF(ISERROR(FIND("R",C195,1)),"","SELECT, "), IF(ISERROR(FIND("U",C195,1)),"","UPDATE, "),IF(ISERROR(FIND("D",C195,1)),"","DELETE, "), IF(ISERROR(FIND("X",C195,1)),"","EXECUTE, "), IF(ISERROR(FIND("F",C195,1)),"","REFERENCES")),IF(ISERROR(FIND("F",C195,1)), LEN(CONCATENATE(IF(ISERROR(FIND("V",C195,1)),"","RECEIVE, "), IF(ISERROR(FIND("C",C195,1)),"","INSERT, "),IF(ISERROR(FIND("R",C195,1)),"","SELECT, "), IF(ISERROR(FIND("U",C195,1)),"","UPDATE, "),IF(ISERROR(FIND("D",C195,1)),"","DELETE, "), IF(ISERROR(FIND("X",C195,1)),"","EXECUTE, ")))-2,LEN(CONCATENATE(IF(ISERROR(FIND("V",C195,1)),"","RECEIVE, "), IF(ISERROR(FIND("C",C195,1)),"","INSERT, "),IF(ISERROR(FIND("R",C195,1)),"","SELECT, "), IF(ISERROR(FIND("U",C195,1)),"","UPDATE, "),IF(ISERROR(FIND("D",C195,1)),"","DELETE, "), IF(ISERROR(FIND("X",C195,1)),"","EXECUTE, "),IF(ISERROR(FIND("F",C195,1)),"","REFERENCES"))))), " ON ",IF(ISERROR(FIND("[",$A195,1)),"[",""), $A195, IF(ISERROR(FIND("]",$A195,1)),"]",""), ".", IF(ISERROR(FIND("[",$B195,1)),"[",""), $B195, IF(ISERROR(FIND("]",$B195,1)),"]","")))), " TO ", IF(ISERROR(FIND("[",D$8,1)),"[",""), D$8, IF(ISERROR(FIND("]",D$8,1)),"]",""),";" ))</f>
        <v/>
      </c>
    </row>
    <row r="196" spans="1:4" x14ac:dyDescent="0.2">
      <c r="A196" s="69" t="s">
        <v>295</v>
      </c>
      <c r="B196" s="70"/>
      <c r="C196" s="70"/>
      <c r="D196" s="70"/>
    </row>
    <row r="197" spans="1:4" x14ac:dyDescent="0.2">
      <c r="A197" s="92"/>
      <c r="B197" s="92" t="s">
        <v>119</v>
      </c>
      <c r="C197" s="93"/>
      <c r="D197" s="94" t="str">
        <f>IF(OR($B197="", C197=""), "", CONCATENATE("GRANT ", LEFT(CONCATENATE(IF(ISERROR(FIND("C",C197,1)),"","INSERT, "),IF(ISERROR(FIND("R",C197,1)),"","SELECT, "), IF(ISERROR(FIND("U",C197,1)),"","UPDATE, "),IF(ISERROR(FIND("D",C197,1)),"","DELETE, "), IF(ISERROR(FIND("X",C197,1)),"","EXECUTE, "), IF(ISERROR(FIND("F",C197,1)),"","REFERENCES")),IF(ISERROR(FIND("F",C197,1)), LEN(CONCATENATE(IF(ISERROR(FIND("C",C197,1)),"","INSERT, "),IF(ISERROR(FIND("R",C197,1)),"","SELECT, "), IF(ISERROR(FIND("U",C197,1)),"","UPDATE, "),IF(ISERROR(FIND("D",C197,1)),"","DELETE, "), IF(ISERROR(FIND("X",C197,1)),"","EXECUTE, ")))-2,LEN(CONCATENATE(IF(ISERROR(FIND("C",C197,1)),"","INSERT, "),IF(ISERROR(FIND("R",C197,1)),"","SELECT, "), IF(ISERROR(FIND("U",C197,1)),"","UPDATE, "),IF(ISERROR(FIND("D",C197,1)),"","DELETE, "), IF(ISERROR(FIND("X",C197,1)),"","EXECUTE, "),IF(ISERROR(FIND("F",C197,1)),"","REFERENCES")))))," ON SCHEMA::", IF(ISERROR(FIND("[",$B197,1)),"[",""), $B197, IF(ISERROR(FIND("]",$B197,1)),"]","")," TO ", IF(ISERROR(FIND("[",D$8,1)),"[",""), D$8, IF(ISERROR(FIND("]",D$8,1)),"]",""),";"))</f>
        <v/>
      </c>
    </row>
    <row r="198" spans="1:4" x14ac:dyDescent="0.2">
      <c r="A198" s="92"/>
      <c r="B198" s="92" t="s">
        <v>128</v>
      </c>
      <c r="C198" s="93"/>
      <c r="D198" s="94" t="str">
        <f>IF(OR($B198="", C198=""), "", CONCATENATE("GRANT ", LEFT(CONCATENATE(IF(ISERROR(FIND("C",C198,1)),"","INSERT, "),IF(ISERROR(FIND("R",C198,1)),"","SELECT, "), IF(ISERROR(FIND("U",C198,1)),"","UPDATE, "),IF(ISERROR(FIND("D",C198,1)),"","DELETE, "), IF(ISERROR(FIND("X",C198,1)),"","EXECUTE, "), IF(ISERROR(FIND("F",C198,1)),"","REFERENCES")),IF(ISERROR(FIND("F",C198,1)), LEN(CONCATENATE(IF(ISERROR(FIND("C",C198,1)),"","INSERT, "),IF(ISERROR(FIND("R",C198,1)),"","SELECT, "), IF(ISERROR(FIND("U",C198,1)),"","UPDATE, "),IF(ISERROR(FIND("D",C198,1)),"","DELETE, "), IF(ISERROR(FIND("X",C198,1)),"","EXECUTE, ")))-2,LEN(CONCATENATE(IF(ISERROR(FIND("C",C198,1)),"","INSERT, "),IF(ISERROR(FIND("R",C198,1)),"","SELECT, "), IF(ISERROR(FIND("U",C198,1)),"","UPDATE, "),IF(ISERROR(FIND("D",C198,1)),"","DELETE, "), IF(ISERROR(FIND("X",C198,1)),"","EXECUTE, "),IF(ISERROR(FIND("F",C198,1)),"","REFERENCES")))))," ON SCHEMA::", IF(ISERROR(FIND("[",$B198,1)),"[",""), $B198, IF(ISERROR(FIND("]",$B198,1)),"]","")," TO ", IF(ISERROR(FIND("[",D$8,1)),"[",""), D$8, IF(ISERROR(FIND("]",D$8,1)),"]",""),";"))</f>
        <v/>
      </c>
    </row>
    <row r="199" spans="1:4" x14ac:dyDescent="0.2">
      <c r="A199" s="92"/>
      <c r="B199" s="92" t="s">
        <v>129</v>
      </c>
      <c r="C199" s="93"/>
      <c r="D199" s="94" t="str">
        <f>IF(OR($B199="", C199=""), "", CONCATENATE("GRANT ", LEFT(CONCATENATE(IF(ISERROR(FIND("C",C199,1)),"","INSERT, "),IF(ISERROR(FIND("R",C199,1)),"","SELECT, "), IF(ISERROR(FIND("U",C199,1)),"","UPDATE, "),IF(ISERROR(FIND("D",C199,1)),"","DELETE, "), IF(ISERROR(FIND("X",C199,1)),"","EXECUTE, "), IF(ISERROR(FIND("F",C199,1)),"","REFERENCES")),IF(ISERROR(FIND("F",C199,1)), LEN(CONCATENATE(IF(ISERROR(FIND("C",C199,1)),"","INSERT, "),IF(ISERROR(FIND("R",C199,1)),"","SELECT, "), IF(ISERROR(FIND("U",C199,1)),"","UPDATE, "),IF(ISERROR(FIND("D",C199,1)),"","DELETE, "), IF(ISERROR(FIND("X",C199,1)),"","EXECUTE, ")))-2,LEN(CONCATENATE(IF(ISERROR(FIND("C",C199,1)),"","INSERT, "),IF(ISERROR(FIND("R",C199,1)),"","SELECT, "), IF(ISERROR(FIND("U",C199,1)),"","UPDATE, "),IF(ISERROR(FIND("D",C199,1)),"","DELETE, "), IF(ISERROR(FIND("X",C199,1)),"","EXECUTE, "),IF(ISERROR(FIND("F",C199,1)),"","REFERENCES")))))," ON SCHEMA::", IF(ISERROR(FIND("[",$B199,1)),"[",""), $B199, IF(ISERROR(FIND("]",$B199,1)),"]","")," TO ", IF(ISERROR(FIND("[",D$8,1)),"[",""), D$8, IF(ISERROR(FIND("]",D$8,1)),"]",""),";"))</f>
        <v/>
      </c>
    </row>
    <row r="200" spans="1:4" x14ac:dyDescent="0.2">
      <c r="A200" s="92"/>
      <c r="B200" s="92" t="s">
        <v>137</v>
      </c>
      <c r="C200" s="93"/>
      <c r="D200" s="94" t="str">
        <f>IF(OR($B200="", C200=""), "", CONCATENATE("GRANT ", LEFT(CONCATENATE(IF(ISERROR(FIND("C",C200,1)),"","INSERT, "),IF(ISERROR(FIND("R",C200,1)),"","SELECT, "), IF(ISERROR(FIND("U",C200,1)),"","UPDATE, "),IF(ISERROR(FIND("D",C200,1)),"","DELETE, "), IF(ISERROR(FIND("X",C200,1)),"","EXECUTE, "), IF(ISERROR(FIND("F",C200,1)),"","REFERENCES")),IF(ISERROR(FIND("F",C200,1)), LEN(CONCATENATE(IF(ISERROR(FIND("C",C200,1)),"","INSERT, "),IF(ISERROR(FIND("R",C200,1)),"","SELECT, "), IF(ISERROR(FIND("U",C200,1)),"","UPDATE, "),IF(ISERROR(FIND("D",C200,1)),"","DELETE, "), IF(ISERROR(FIND("X",C200,1)),"","EXECUTE, ")))-2,LEN(CONCATENATE(IF(ISERROR(FIND("C",C200,1)),"","INSERT, "),IF(ISERROR(FIND("R",C200,1)),"","SELECT, "), IF(ISERROR(FIND("U",C200,1)),"","UPDATE, "),IF(ISERROR(FIND("D",C200,1)),"","DELETE, "), IF(ISERROR(FIND("X",C200,1)),"","EXECUTE, "),IF(ISERROR(FIND("F",C200,1)),"","REFERENCES")))))," ON SCHEMA::", IF(ISERROR(FIND("[",$B200,1)),"[",""), $B200, IF(ISERROR(FIND("]",$B200,1)),"]","")," TO ", IF(ISERROR(FIND("[",D$8,1)),"[",""), D$8, IF(ISERROR(FIND("]",D$8,1)),"]",""),";"))</f>
        <v/>
      </c>
    </row>
    <row r="201" spans="1:4" x14ac:dyDescent="0.2">
      <c r="A201" s="92"/>
      <c r="B201" s="92" t="s">
        <v>144</v>
      </c>
      <c r="C201" s="93"/>
      <c r="D201" s="94" t="str">
        <f>IF(OR($B201="", C201=""), "", CONCATENATE("GRANT ", LEFT(CONCATENATE(IF(ISERROR(FIND("C",C201,1)),"","INSERT, "),IF(ISERROR(FIND("R",C201,1)),"","SELECT, "), IF(ISERROR(FIND("U",C201,1)),"","UPDATE, "),IF(ISERROR(FIND("D",C201,1)),"","DELETE, "), IF(ISERROR(FIND("X",C201,1)),"","EXECUTE, "), IF(ISERROR(FIND("F",C201,1)),"","REFERENCES")),IF(ISERROR(FIND("F",C201,1)), LEN(CONCATENATE(IF(ISERROR(FIND("C",C201,1)),"","INSERT, "),IF(ISERROR(FIND("R",C201,1)),"","SELECT, "), IF(ISERROR(FIND("U",C201,1)),"","UPDATE, "),IF(ISERROR(FIND("D",C201,1)),"","DELETE, "), IF(ISERROR(FIND("X",C201,1)),"","EXECUTE, ")))-2,LEN(CONCATENATE(IF(ISERROR(FIND("C",C201,1)),"","INSERT, "),IF(ISERROR(FIND("R",C201,1)),"","SELECT, "), IF(ISERROR(FIND("U",C201,1)),"","UPDATE, "),IF(ISERROR(FIND("D",C201,1)),"","DELETE, "), IF(ISERROR(FIND("X",C201,1)),"","EXECUTE, "),IF(ISERROR(FIND("F",C201,1)),"","REFERENCES")))))," ON SCHEMA::", IF(ISERROR(FIND("[",$B201,1)),"[",""), $B201, IF(ISERROR(FIND("]",$B201,1)),"]","")," TO ", IF(ISERROR(FIND("[",D$8,1)),"[",""), D$8, IF(ISERROR(FIND("]",D$8,1)),"]",""),";"))</f>
        <v/>
      </c>
    </row>
    <row r="202" spans="1:4" x14ac:dyDescent="0.2">
      <c r="A202" s="92"/>
      <c r="B202" s="92" t="s">
        <v>165</v>
      </c>
      <c r="C202" s="93"/>
      <c r="D202" s="94" t="str">
        <f>IF(OR($B202="", C202=""), "", CONCATENATE("GRANT ", LEFT(CONCATENATE(IF(ISERROR(FIND("C",C202,1)),"","INSERT, "),IF(ISERROR(FIND("R",C202,1)),"","SELECT, "), IF(ISERROR(FIND("U",C202,1)),"","UPDATE, "),IF(ISERROR(FIND("D",C202,1)),"","DELETE, "), IF(ISERROR(FIND("X",C202,1)),"","EXECUTE, "), IF(ISERROR(FIND("F",C202,1)),"","REFERENCES")),IF(ISERROR(FIND("F",C202,1)), LEN(CONCATENATE(IF(ISERROR(FIND("C",C202,1)),"","INSERT, "),IF(ISERROR(FIND("R",C202,1)),"","SELECT, "), IF(ISERROR(FIND("U",C202,1)),"","UPDATE, "),IF(ISERROR(FIND("D",C202,1)),"","DELETE, "), IF(ISERROR(FIND("X",C202,1)),"","EXECUTE, ")))-2,LEN(CONCATENATE(IF(ISERROR(FIND("C",C202,1)),"","INSERT, "),IF(ISERROR(FIND("R",C202,1)),"","SELECT, "), IF(ISERROR(FIND("U",C202,1)),"","UPDATE, "),IF(ISERROR(FIND("D",C202,1)),"","DELETE, "), IF(ISERROR(FIND("X",C202,1)),"","EXECUTE, "),IF(ISERROR(FIND("F",C202,1)),"","REFERENCES")))))," ON SCHEMA::", IF(ISERROR(FIND("[",$B202,1)),"[",""), $B202, IF(ISERROR(FIND("]",$B202,1)),"]","")," TO ", IF(ISERROR(FIND("[",D$8,1)),"[",""), D$8, IF(ISERROR(FIND("]",D$8,1)),"]",""),";"))</f>
        <v/>
      </c>
    </row>
    <row r="203" spans="1:4" x14ac:dyDescent="0.2">
      <c r="A203" s="89"/>
      <c r="B203" s="89" t="s">
        <v>165</v>
      </c>
      <c r="C203" s="90"/>
      <c r="D203" s="91" t="str">
        <f>IF(OR($B203="", C203=""), "", CONCATENATE("GRANT ", LEFT(CONCATENATE(IF(ISERROR(FIND("C",C203,1)),"","INSERT, "),IF(ISERROR(FIND("R",C203,1)),"","SELECT, "), IF(ISERROR(FIND("U",C203,1)),"","UPDATE, "),IF(ISERROR(FIND("D",C203,1)),"","DELETE, "), IF(ISERROR(FIND("X",C203,1)),"","EXECUTE, "), IF(ISERROR(FIND("F",C203,1)),"","REFERENCES")),IF(ISERROR(FIND("F",C203,1)), LEN(CONCATENATE(IF(ISERROR(FIND("C",C203,1)),"","INSERT, "),IF(ISERROR(FIND("R",C203,1)),"","SELECT, "), IF(ISERROR(FIND("U",C203,1)),"","UPDATE, "),IF(ISERROR(FIND("D",C203,1)),"","DELETE, "), IF(ISERROR(FIND("X",C203,1)),"","EXECUTE, ")))-2,LEN(CONCATENATE(IF(ISERROR(FIND("C",C203,1)),"","INSERT, "),IF(ISERROR(FIND("R",C203,1)),"","SELECT, "), IF(ISERROR(FIND("U",C203,1)),"","UPDATE, "),IF(ISERROR(FIND("D",C203,1)),"","DELETE, "), IF(ISERROR(FIND("X",C203,1)),"","EXECUTE, "),IF(ISERROR(FIND("F",C203,1)),"","REFERENCES")))))," ON SCHEMA::", IF(ISERROR(FIND("[",$B203,1)),"[",""), $B203, IF(ISERROR(FIND("]",$B203,1)),"]","")," TO ", IF(ISERROR(FIND("[",D$8,1)),"[",""), D$8, IF(ISERROR(FIND("]",D$8,1)),"]",""),";"))</f>
        <v/>
      </c>
    </row>
  </sheetData>
  <mergeCells count="4">
    <mergeCell ref="B1:D1"/>
    <mergeCell ref="B3:C3"/>
    <mergeCell ref="B4:C4"/>
    <mergeCell ref="B5:C5"/>
  </mergeCells>
  <pageMargins left="0.7" right="0.7" top="0.75" bottom="0.75" header="0.3" footer="0.3"/>
  <pageSetup paperSize="9" orientation="portrait" horizontalDpi="200" verticalDpi="20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gistro MVM" ma:contentTypeID="0x01010006DB9EB5FAE7F54C96E79E7C0BF8FD2B00A39047D769FBBF4B95A703A9EA7A4522" ma:contentTypeVersion="16" ma:contentTypeDescription="Tipo de contenido para los registros MVM que son documentos digitales" ma:contentTypeScope="" ma:versionID="31c16789d25a8865ea1372d84f59bbf4">
  <xsd:schema xmlns:xsd="http://www.w3.org/2001/XMLSchema" xmlns:xs="http://www.w3.org/2001/XMLSchema" xmlns:p="http://schemas.microsoft.com/office/2006/metadata/properties" xmlns:ns2="dfd55e07-2f41-4f0a-9e77-829fa12c360d" xmlns:ns3="b1c9da78-5c2b-41fc-8c6f-89679f79f1af" xmlns:ns4="8ecf70e0-961a-411d-880f-0b2ec177acf4" targetNamespace="http://schemas.microsoft.com/office/2006/metadata/properties" ma:root="true" ma:fieldsID="05b2bddc8f8f708e3658e8f97ac49c49" ns2:_="" ns3:_="" ns4:_="">
    <xsd:import namespace="dfd55e07-2f41-4f0a-9e77-829fa12c360d"/>
    <xsd:import namespace="b1c9da78-5c2b-41fc-8c6f-89679f79f1af"/>
    <xsd:import namespace="8ecf70e0-961a-411d-880f-0b2ec177acf4"/>
    <xsd:element name="properties">
      <xsd:complexType>
        <xsd:sequence>
          <xsd:element name="documentManagement">
            <xsd:complexType>
              <xsd:all>
                <xsd:element ref="ns2:Vigente_x0020__x0028_Registro_x0029_" minOccurs="0"/>
                <xsd:element ref="ns2:Tiempo_x0020_conservación" minOccurs="0"/>
                <xsd:element ref="ns2:Lugar_x0020_archivo" minOccurs="0"/>
                <xsd:element ref="ns2:Ejemplo" minOccurs="0"/>
                <xsd:element ref="ns2:Indización" minOccurs="0"/>
                <xsd:element ref="ns2:Método_x0020_de_x0020_descarte_x0020_o_x0020_disposición" minOccurs="0"/>
                <xsd:element ref="ns2:Tipo_x0020_de_x0020_control_x0020_de_x0020_acceso" minOccurs="0"/>
                <xsd:element ref="ns2:Almacenado_x0020_en_x0020_herramienta_x0020_control_x0020_de_x0020_versiones" minOccurs="0"/>
                <xsd:element ref="ns2:Observaciones_x0020_Control_x0020_de_x0020_Versiones" minOccurs="0"/>
                <xsd:element ref="ns2:Codificación_x0020_de_x0020_la_x0020_versión_x0020_del_x0020_archivo" minOccurs="0"/>
                <xsd:element ref="ns3:_dlc_DocId" minOccurs="0"/>
                <xsd:element ref="ns3:_dlc_DocIdUrl" minOccurs="0"/>
                <xsd:element ref="ns3:_dlc_DocIdPersistId" minOccurs="0"/>
                <xsd:element ref="ns4:Proceso_x0020_Vinculado" minOccurs="0"/>
                <xsd:element ref="ns4:Fecha_x0020__x00fa_ltima_x0020_distribuci_x00f3_n" minOccurs="0"/>
                <xsd:element ref="ns4:Medio_x0020__x0028_papel_x002f_diskette_x002f_mail_x0029_" minOccurs="0"/>
                <xsd:element ref="ns4:Distribuido_x0020_a" minOccurs="0"/>
                <xsd:element ref="ns4:Client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55e07-2f41-4f0a-9e77-829fa12c360d" elementFormDefault="qualified">
    <xsd:import namespace="http://schemas.microsoft.com/office/2006/documentManagement/types"/>
    <xsd:import namespace="http://schemas.microsoft.com/office/infopath/2007/PartnerControls"/>
    <xsd:element name="Vigente_x0020__x0028_Registro_x0029_" ma:index="2" nillable="true" ma:displayName="Vigente (Registro)" ma:default="1" ma:description="Indica si el registro está vigente o no" ma:internalName="Vigente_x0020__x0028_Registro_x0029_">
      <xsd:simpleType>
        <xsd:restriction base="dms:Boolean"/>
      </xsd:simpleType>
    </xsd:element>
    <xsd:element name="Tiempo_x0020_conservación" ma:index="3" nillable="true" ma:displayName="Tiempo conservación" ma:description="Tiempo de conservación del registro" ma:internalName="Tiempo_x0020_conservaci_x00f3_n">
      <xsd:simpleType>
        <xsd:restriction base="dms:Note"/>
      </xsd:simpleType>
    </xsd:element>
    <xsd:element name="Lugar_x0020_archivo" ma:index="4" nillable="true" ma:displayName="Lugar archivo y estándar de nombramiento" ma:description="Descripción del lugar donde se almacena el registro, así como su nomenclatura" ma:internalName="Lugar_x0020_archivo">
      <xsd:simpleType>
        <xsd:restriction base="dms:Note"/>
      </xsd:simpleType>
    </xsd:element>
    <xsd:element name="Ejemplo" ma:index="5" nillable="true" ma:displayName="Ejemplo" ma:description="Ejemplo de cómo se debe almacenar el registro de acuerdo a la descripción del lugar del archivo" ma:internalName="Ejemplo">
      <xsd:simpleType>
        <xsd:restriction base="dms:Note"/>
      </xsd:simpleType>
    </xsd:element>
    <xsd:element name="Indización" ma:index="6" nillable="true" ma:displayName="Indización" ma:description="Indización del registro" ma:internalName="Indizaci_x00f3_n">
      <xsd:simpleType>
        <xsd:restriction base="dms:Text">
          <xsd:maxLength value="255"/>
        </xsd:restriction>
      </xsd:simpleType>
    </xsd:element>
    <xsd:element name="Método_x0020_de_x0020_descarte_x0020_o_x0020_disposición" ma:index="7" nillable="true" ma:displayName="Método de descarte o disposición" ma:description="Método de descarte del registro en caso de llevarse a cabo" ma:internalName="M_x00e9_todo_x0020_de_x0020_descarte_x0020_o_x0020_disposici_x00f3_n">
      <xsd:simpleType>
        <xsd:restriction base="dms:Text">
          <xsd:maxLength value="255"/>
        </xsd:restriction>
      </xsd:simpleType>
    </xsd:element>
    <xsd:element name="Tipo_x0020_de_x0020_control_x0020_de_x0020_acceso" ma:index="8" nillable="true" ma:displayName="Tipo de control de acceso" ma:description="Tipo de control de acceso del registro" ma:internalName="Tipo_x0020_de_x0020_control_x0020_de_x0020_acceso">
      <xsd:simpleType>
        <xsd:restriction base="dms:Text">
          <xsd:maxLength value="255"/>
        </xsd:restriction>
      </xsd:simpleType>
    </xsd:element>
    <xsd:element name="Almacenado_x0020_en_x0020_herramienta_x0020_control_x0020_de_x0020_versiones" ma:index="9" nillable="true" ma:displayName="Almacenado en herramienta control de versiones" ma:description="Indica si el registro es almacenado en herramienta control de versiones" ma:format="Dropdown" ma:internalName="Almacenado_x0020_en_x0020_herramienta_x0020_control_x0020_de_x0020_versiones">
      <xsd:simpleType>
        <xsd:restriction base="dms:Choice">
          <xsd:enumeration value="Si"/>
          <xsd:enumeration value="No"/>
          <xsd:enumeration value="En ocasiones"/>
        </xsd:restriction>
      </xsd:simpleType>
    </xsd:element>
    <xsd:element name="Observaciones_x0020_Control_x0020_de_x0020_Versiones" ma:index="10" nillable="true" ma:displayName="Observaciones Control de Versiones" ma:description="Observaciones cuando en algunos casos se almacena en herramienta control de versiones y en otros casos no" ma:internalName="Observaciones_x0020_Control_x0020_de_x0020_Versiones">
      <xsd:simpleType>
        <xsd:restriction base="dms:Note">
          <xsd:maxLength value="255"/>
        </xsd:restriction>
      </xsd:simpleType>
    </xsd:element>
    <xsd:element name="Codificación_x0020_de_x0020_la_x0020_versión_x0020_del_x0020_archivo" ma:index="11" nillable="true" ma:displayName="Codificación de la versión del archivo" ma:description="Codificación de la versión del archivo" ma:internalName="Codificaci_x00f3_n_x0020_de_x0020_la_x0020_versi_x00f3_n_x0020_del_x0020_archivo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c9da78-5c2b-41fc-8c6f-89679f79f1af" elementFormDefault="qualified">
    <xsd:import namespace="http://schemas.microsoft.com/office/2006/documentManagement/types"/>
    <xsd:import namespace="http://schemas.microsoft.com/office/infopath/2007/PartnerControls"/>
    <xsd:element name="_dlc_DocId" ma:index="18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19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0" nillable="true" ma:displayName="Identificador persistente" ma:description="Mantener el identificador al agregar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cf70e0-961a-411d-880f-0b2ec177acf4" elementFormDefault="qualified">
    <xsd:import namespace="http://schemas.microsoft.com/office/2006/documentManagement/types"/>
    <xsd:import namespace="http://schemas.microsoft.com/office/infopath/2007/PartnerControls"/>
    <xsd:element name="Proceso_x0020_Vinculado" ma:index="21" nillable="true" ma:displayName="Proceso Vinculado" ma:list="{5896162b-f6b1-4f12-ac6a-7b4094c0121d}" ma:internalName="Proceso_x0020_Vinculado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Fecha_x0020__x00fa_ltima_x0020_distribuci_x00f3_n" ma:index="22" nillable="true" ma:displayName="Fecha última distribución" ma:format="DateOnly" ma:internalName="Fecha_x0020__x00fa_ltima_x0020_distribuci_x00f3_n">
      <xsd:simpleType>
        <xsd:restriction base="dms:DateTime"/>
      </xsd:simpleType>
    </xsd:element>
    <xsd:element name="Medio_x0020__x0028_papel_x002f_diskette_x002f_mail_x0029_" ma:index="23" nillable="true" ma:displayName="Medio (papel/diskette/mail)" ma:internalName="Medio_x0020__x0028_papel_x002f_diskette_x002f_mail_x0029_">
      <xsd:simpleType>
        <xsd:restriction base="dms:Text">
          <xsd:maxLength value="255"/>
        </xsd:restriction>
      </xsd:simpleType>
    </xsd:element>
    <xsd:element name="Distribuido_x0020_a" ma:index="24" nillable="true" ma:displayName="Distribuido a" ma:internalName="Distribuido_x0020_a">
      <xsd:simpleType>
        <xsd:restriction base="dms:Text">
          <xsd:maxLength value="255"/>
        </xsd:restriction>
      </xsd:simpleType>
    </xsd:element>
    <xsd:element name="Clientes" ma:index="25" nillable="true" ma:displayName="Clientes" ma:description="Lista de clientes que usan el formato" ma:list="{e64806b7-0f90-45dd-badb-37a3df760e1c}" ma:internalName="Clientes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7" ma:displayName="Tipo de contenido"/>
        <xsd:element ref="dc:title" minOccurs="0" maxOccurs="1" ma:index="1" ma:displayName="Nombre Format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bservaciones_x0020_Control_x0020_de_x0020_Versiones xmlns="dfd55e07-2f41-4f0a-9e77-829fa12c360d" xsi:nil="true"/>
    <Distribuido_x0020_a xmlns="8ecf70e0-961a-411d-880f-0b2ec177acf4" xsi:nil="true"/>
    <Indización xmlns="dfd55e07-2f41-4f0a-9e77-829fa12c360d">Nombre archivo</Indización>
    <Lugar_x0020_archivo xmlns="dfd55e07-2f41-4f0a-9e77-829fa12c360d">Asociado a la tarea en la plataforma de productividad. ???j_PrivObjeSQL.xls</Lugar_x0020_archivo>
    <Método_x0020_de_x0020_descarte_x0020_o_x0020_disposición xmlns="dfd55e07-2f41-4f0a-9e77-829fa12c360d">Cinta o directorio designado para archivos o aplicaciones obsoletas</Método_x0020_de_x0020_descarte_x0020_o_x0020_disposición>
    <Fecha_x0020__x00fa_ltima_x0020_distribuci_x00f3_n xmlns="8ecf70e0-961a-411d-880f-0b2ec177acf4">2012-12-05T05:00:00+00:00</Fecha_x0020__x00fa_ltima_x0020_distribuci_x00f3_n>
    <Ejemplo xmlns="dfd55e07-2f41-4f0a-9e77-829fa12c360d">sagj_PrivObjeSQL.xlsm</Ejemplo>
    <Proceso_x0020_Vinculado xmlns="8ecf70e0-961a-411d-880f-0b2ec177acf4">
      <Value>9</Value>
      <Value>10</Value>
      <Value>11</Value>
      <Value>12</Value>
    </Proceso_x0020_Vinculado>
    <Almacenado_x0020_en_x0020_herramienta_x0020_control_x0020_de_x0020_versiones xmlns="dfd55e07-2f41-4f0a-9e77-829fa12c360d">Si</Almacenado_x0020_en_x0020_herramienta_x0020_control_x0020_de_x0020_versiones>
    <Tiempo_x0020_conservación xmlns="dfd55e07-2f41-4f0a-9e77-829fa12c360d">1 año después de terminado el contrato</Tiempo_x0020_conservación>
    <Tipo_x0020_de_x0020_control_x0020_de_x0020_acceso xmlns="dfd55e07-2f41-4f0a-9e77-829fa12c360d">Ninguno</Tipo_x0020_de_x0020_control_x0020_de_x0020_acceso>
    <Vigente_x0020__x0028_Registro_x0029_ xmlns="dfd55e07-2f41-4f0a-9e77-829fa12c360d">true</Vigente_x0020__x0028_Registro_x0029_>
    <Medio_x0020__x0028_papel_x002f_diskette_x002f_mail_x0029_ xmlns="8ecf70e0-961a-411d-880f-0b2ec177acf4" xsi:nil="true"/>
    <Codificación_x0020_de_x0020_la_x0020_versión_x0020_del_x0020_archivo xmlns="dfd55e07-2f41-4f0a-9e77-829fa12c360d">Generado automáticamente por Herramienta Control de Versiones</Codificación_x0020_de_x0020_la_x0020_versión_x0020_del_x0020_archivo>
    <_dlc_DocId xmlns="b1c9da78-5c2b-41fc-8c6f-89679f79f1af">4KFYVKS7WUW7-126-275</_dlc_DocId>
    <_dlc_DocIdUrl xmlns="b1c9da78-5c2b-41fc-8c6f-89679f79f1af">
      <Url>http://mvmsb201:27161/sitios/intranet/procesos/_layouts/DocIdRedir.aspx?ID=4KFYVKS7WUW7-126-275</Url>
      <Description>4KFYVKS7WUW7-126-275</Description>
    </_dlc_DocIdUrl>
    <Clientes xmlns="8ecf70e0-961a-411d-880f-0b2ec177acf4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F5A760-128B-4EE2-A05F-CA1301950676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3335EDAC-FFFE-4886-B996-E9CDAEFA61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d55e07-2f41-4f0a-9e77-829fa12c360d"/>
    <ds:schemaRef ds:uri="b1c9da78-5c2b-41fc-8c6f-89679f79f1af"/>
    <ds:schemaRef ds:uri="8ecf70e0-961a-411d-880f-0b2ec177ac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A7C7FF-0BAA-43AC-BCF6-F20C1899AAEB}">
  <ds:schemaRefs>
    <ds:schemaRef ds:uri="http://schemas.microsoft.com/office/2006/documentManagement/types"/>
    <ds:schemaRef ds:uri="http://schemas.microsoft.com/office/2006/metadata/properties"/>
    <ds:schemaRef ds:uri="dfd55e07-2f41-4f0a-9e77-829fa12c360d"/>
    <ds:schemaRef ds:uri="http://purl.org/dc/terms/"/>
    <ds:schemaRef ds:uri="b1c9da78-5c2b-41fc-8c6f-89679f79f1af"/>
    <ds:schemaRef ds:uri="http://www.w3.org/XML/1998/namespace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8ecf70e0-961a-411d-880f-0b2ec177acf4"/>
  </ds:schemaRefs>
</ds:datastoreItem>
</file>

<file path=customXml/itemProps4.xml><?xml version="1.0" encoding="utf-8"?>
<ds:datastoreItem xmlns:ds="http://schemas.openxmlformats.org/officeDocument/2006/customXml" ds:itemID="{E24633F6-7DDA-4607-B4DD-352D83D8FB2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Configuraciones</vt:lpstr>
      <vt:lpstr>Plantilla</vt:lpstr>
      <vt:lpstr>Logines</vt:lpstr>
      <vt:lpstr>UsuariosRoles</vt:lpstr>
      <vt:lpstr>Cubos_App</vt:lpstr>
      <vt:lpstr>CRUD_DemandaDW</vt:lpstr>
      <vt:lpstr>SI_NO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Matriz CRUD SQL Server</dc:title>
  <dc:subject>F-PRO-178</dc:subject>
  <dc:creator>hugo.gonzalez</dc:creator>
  <cp:lastModifiedBy>Hugo de Jesus Gonzalez Olaya</cp:lastModifiedBy>
  <cp:lastPrinted>2012-12-05T19:44:35Z</cp:lastPrinted>
  <dcterms:created xsi:type="dcterms:W3CDTF">2010-10-29T21:09:22Z</dcterms:created>
  <dcterms:modified xsi:type="dcterms:W3CDTF">2019-09-05T15:40:19Z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0x01010006DB9EB5FAE7F54C96E79E7C0BF8FD2B00A39047D769FBBF4B95A703A9EA7A4522</vt:lpwstr>
  </property>
  <property fmtid="{D5CDD505-2E9C-101B-9397-08002B2CF9AE}" pid="3" name="_dlc_DocIdItemGuid">
    <vt:lpwstr>f1d3a298-63f1-4d5b-a35b-aecc6ad0eb6d</vt:lpwstr>
  </property>
</Properties>
</file>